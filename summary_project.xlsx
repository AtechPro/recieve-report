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Received Report" sheetId="2" state="visible" r:id="rId2"/>
    <sheet name="Finding Report" sheetId="3" state="visible" r:id="rId3"/>
    <sheet name="Serviced Report" sheetId="4" state="visible" r:id="rId4"/>
    <sheet name="Hydrotest Only" sheetId="5" state="visible" r:id="rId5"/>
    <sheet name="Valve Cert" sheetId="6" state="visible" r:id="rId6"/>
    <sheet name="Valve Repacking Checklist" sheetId="7" state="visible" r:id="rId7"/>
    <sheet name="Valve Overhaul Checklist" sheetId="8" state="visible" r:id="rId8"/>
    <sheet name="Tagging" sheetId="9" state="visible" r:id="rId9"/>
  </sheets>
  <definedNames>
    <definedName name="_xlnm.Print_Area" localSheetId="1">'Received Report'!$A$1:$S$64</definedName>
    <definedName name="_xlnm.Print_Area" localSheetId="2">'Finding Report'!$A$1:$S$114</definedName>
    <definedName name="_xlnm.Print_Area" localSheetId="3">'Serviced Report'!$A$1:$S$117</definedName>
    <definedName name="_xlnm.Print_Area" localSheetId="4">'Hydrotest Only'!$A$1:$S$88</definedName>
    <definedName name="_xlnm.Print_Area" localSheetId="5">'Valve Cert'!$A$1:$S$88</definedName>
    <definedName name="_xlnm.Print_Area" localSheetId="6">'Valve Repacking Checklist'!$A$1:$Q$39</definedName>
    <definedName name="_xlnm.Print_Area" localSheetId="7">'Valve Overhaul Checklist'!$A$1:$P$50</definedName>
    <definedName name="_xlnm.Print_Area" localSheetId="8">'Tagging'!$A$1:$K$51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;\-0;;@"/>
  </numFmts>
  <fonts count="32">
    <font>
      <name val="Calibri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Calibri"/>
      <family val="2"/>
      <color theme="10"/>
      <sz val="12"/>
      <u val="single"/>
      <scheme val="minor"/>
    </font>
    <font>
      <name val="Arial Narrow"/>
      <family val="2"/>
      <color theme="1"/>
      <sz val="18"/>
    </font>
    <font>
      <name val="Arial Narrow"/>
      <family val="2"/>
      <b val="1"/>
      <color theme="1"/>
      <sz val="18"/>
    </font>
    <font>
      <name val="Arial Narrow"/>
      <family val="2"/>
      <b val="1"/>
      <color rgb="FF000000"/>
      <sz val="24"/>
    </font>
    <font>
      <name val="Calibri"/>
      <family val="2"/>
      <b val="1"/>
      <color rgb="FF000000"/>
      <sz val="24"/>
      <scheme val="minor"/>
    </font>
    <font>
      <name val="Arial Narrow"/>
      <family val="2"/>
      <color rgb="FF000000"/>
      <sz val="18"/>
    </font>
    <font>
      <name val="Arial Narrow"/>
      <family val="2"/>
      <b val="1"/>
      <color rgb="FF000000"/>
      <sz val="18"/>
    </font>
    <font>
      <name val="Arial Narrow"/>
      <family val="2"/>
      <b val="1"/>
      <color rgb="FFFF0000"/>
      <sz val="18"/>
    </font>
    <font>
      <name val="Calibri"/>
      <family val="2"/>
      <color theme="1"/>
      <sz val="18"/>
      <scheme val="minor"/>
    </font>
    <font>
      <name val="Arial Narrow"/>
      <family val="2"/>
      <color theme="9"/>
      <sz val="18"/>
    </font>
    <font>
      <name val="Arial"/>
      <family val="2"/>
      <b val="1"/>
      <color theme="1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 Narrow"/>
      <family val="2"/>
      <b val="1"/>
      <color theme="1"/>
      <sz val="28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rial Narrow"/>
      <family val="2"/>
      <color rgb="FFFF0000"/>
      <sz val="18"/>
    </font>
    <font>
      <name val="Calibri"/>
      <family val="2"/>
      <color rgb="FFFF0000"/>
      <sz val="18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/>
      <sz val="16"/>
      <scheme val="minor"/>
    </font>
  </fonts>
  <fills count="10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E0000"/>
        <bgColor indexed="64"/>
      </patternFill>
    </fill>
  </fills>
  <borders count="1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23" fillId="0" borderId="0"/>
    <xf numFmtId="0" fontId="3" fillId="0" borderId="0"/>
  </cellStyleXfs>
  <cellXfs count="757">
    <xf numFmtId="0" fontId="0" fillId="0" borderId="0" pivotButton="0" quotePrefix="0" xfId="0"/>
    <xf numFmtId="0" fontId="8" fillId="0" borderId="0" applyAlignment="1" pivotButton="0" quotePrefix="0" xfId="0">
      <alignment vertical="center" wrapText="1"/>
    </xf>
    <xf numFmtId="0" fontId="8" fillId="0" borderId="28" applyAlignment="1" pivotButton="0" quotePrefix="0" xfId="0">
      <alignment vertical="center" wrapText="1"/>
    </xf>
    <xf numFmtId="0" fontId="4" fillId="0" borderId="28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top" wrapText="1"/>
    </xf>
    <xf numFmtId="0" fontId="9" fillId="0" borderId="23" applyAlignment="1" pivotButton="0" quotePrefix="0" xfId="0">
      <alignment horizontal="center" vertical="top" wrapText="1"/>
    </xf>
    <xf numFmtId="0" fontId="9" fillId="0" borderId="27" applyAlignment="1" pivotButton="0" quotePrefix="0" xfId="0">
      <alignment horizontal="center" vertical="top" wrapText="1"/>
    </xf>
    <xf numFmtId="0" fontId="9" fillId="0" borderId="29" applyAlignment="1" pivotButton="0" quotePrefix="0" xfId="0">
      <alignment horizontal="center" vertical="top" wrapText="1"/>
    </xf>
    <xf numFmtId="0" fontId="9" fillId="0" borderId="20" applyAlignment="1" pivotButton="0" quotePrefix="0" xfId="0">
      <alignment horizontal="center" vertical="top" wrapText="1"/>
    </xf>
    <xf numFmtId="0" fontId="4" fillId="0" borderId="23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164" fontId="4" fillId="0" borderId="19" applyAlignment="1" pivotButton="0" quotePrefix="0" xfId="0">
      <alignment horizontal="center" vertical="center" wrapText="1"/>
    </xf>
    <xf numFmtId="164" fontId="4" fillId="0" borderId="11" applyAlignment="1" pivotButton="0" quotePrefix="0" xfId="0">
      <alignment horizontal="center" vertical="center" wrapText="1"/>
    </xf>
    <xf numFmtId="0" fontId="4" fillId="0" borderId="23" applyAlignment="1" applyProtection="1" pivotButton="0" quotePrefix="0" xfId="0">
      <alignment horizontal="center" vertical="center" wrapText="1"/>
      <protection locked="0" hidden="0"/>
    </xf>
    <xf numFmtId="0" fontId="4" fillId="0" borderId="26" applyAlignment="1" applyProtection="1" pivotButton="0" quotePrefix="0" xfId="0">
      <alignment horizontal="center" vertical="center" wrapText="1"/>
      <protection locked="0" hidden="0"/>
    </xf>
    <xf numFmtId="0" fontId="4" fillId="0" borderId="27" applyAlignment="1" applyProtection="1" pivotButton="0" quotePrefix="0" xfId="0">
      <alignment vertical="center" wrapText="1"/>
      <protection locked="0" hidden="0"/>
    </xf>
    <xf numFmtId="0" fontId="4" fillId="0" borderId="28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0" borderId="29" applyAlignment="1" applyProtection="1" pivotButton="0" quotePrefix="0" xfId="0">
      <alignment vertical="center" wrapText="1"/>
      <protection locked="0" hidden="0"/>
    </xf>
    <xf numFmtId="0" fontId="4" fillId="0" borderId="20" applyAlignment="1" applyProtection="1" pivotButton="0" quotePrefix="0" xfId="0">
      <alignment vertical="center" wrapText="1"/>
      <protection locked="0" hidden="0"/>
    </xf>
    <xf numFmtId="0" fontId="4" fillId="0" borderId="20" applyAlignment="1" applyProtection="1" pivotButton="0" quotePrefix="0" xfId="0">
      <alignment horizontal="center" vertical="center" wrapText="1"/>
      <protection locked="0" hidden="0"/>
    </xf>
    <xf numFmtId="0" fontId="4" fillId="0" borderId="30" applyAlignment="1" applyProtection="1" pivotButton="0" quotePrefix="0" xfId="0">
      <alignment horizontal="center" vertical="center" wrapText="1"/>
      <protection locked="0" hidden="0"/>
    </xf>
    <xf numFmtId="0" fontId="4" fillId="0" borderId="25" applyAlignment="1" applyProtection="1" pivotButton="0" quotePrefix="0" xfId="0">
      <alignment vertical="center" wrapText="1"/>
      <protection locked="0" hidden="0"/>
    </xf>
    <xf numFmtId="0" fontId="4" fillId="0" borderId="23" applyAlignment="1" applyProtection="1" pivotButton="0" quotePrefix="0" xfId="0">
      <alignment vertical="center" wrapText="1"/>
      <protection locked="0" hidden="0"/>
    </xf>
    <xf numFmtId="0" fontId="4" fillId="0" borderId="26" applyAlignment="1" applyProtection="1" pivotButton="0" quotePrefix="0" xfId="0">
      <alignment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28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0" borderId="28" applyAlignment="1" applyProtection="1" pivotButton="0" quotePrefix="0" xfId="0">
      <alignment vertical="center" wrapText="1"/>
      <protection locked="0" hidden="0"/>
    </xf>
    <xf numFmtId="0" fontId="4" fillId="0" borderId="30" applyAlignment="1" applyProtection="1" pivotButton="0" quotePrefix="0" xfId="0">
      <alignment vertical="center" wrapText="1"/>
      <protection locked="0" hidden="0"/>
    </xf>
    <xf numFmtId="0" fontId="9" fillId="0" borderId="25" applyAlignment="1" applyProtection="1" pivotButton="0" quotePrefix="0" xfId="0">
      <alignment horizontal="center" vertical="top" wrapText="1"/>
      <protection locked="0" hidden="0"/>
    </xf>
    <xf numFmtId="0" fontId="9" fillId="0" borderId="23" applyAlignment="1" applyProtection="1" pivotButton="0" quotePrefix="0" xfId="0">
      <alignment horizontal="center" vertical="top" wrapText="1"/>
      <protection locked="0" hidden="0"/>
    </xf>
    <xf numFmtId="0" fontId="4" fillId="0" borderId="27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27" applyAlignment="1" applyProtection="1" pivotButton="0" quotePrefix="0" xfId="0">
      <alignment horizontal="center" vertical="top" wrapText="1"/>
      <protection locked="0" hidden="0"/>
    </xf>
    <xf numFmtId="0" fontId="9" fillId="0" borderId="0" applyAlignment="1" applyProtection="1" pivotButton="0" quotePrefix="0" xfId="0">
      <alignment horizontal="center" vertical="top" wrapText="1"/>
      <protection locked="0" hidden="0"/>
    </xf>
    <xf numFmtId="0" fontId="9" fillId="0" borderId="29" applyAlignment="1" applyProtection="1" pivotButton="0" quotePrefix="0" xfId="0">
      <alignment horizontal="center" vertical="top" wrapText="1"/>
      <protection locked="0" hidden="0"/>
    </xf>
    <xf numFmtId="0" fontId="9" fillId="0" borderId="20" applyAlignment="1" applyProtection="1" pivotButton="0" quotePrefix="0" xfId="0">
      <alignment horizontal="center" vertical="top" wrapText="1"/>
      <protection locked="0" hidden="0"/>
    </xf>
    <xf numFmtId="0" fontId="4" fillId="0" borderId="29" applyAlignment="1" applyProtection="1" pivotButton="0" quotePrefix="0" xfId="0">
      <alignment horizontal="center" vertical="center" wrapText="1"/>
      <protection locked="0" hidden="0"/>
    </xf>
    <xf numFmtId="0" fontId="8" fillId="0" borderId="25" applyAlignment="1" applyProtection="1" pivotButton="0" quotePrefix="0" xfId="0">
      <alignment vertical="center" wrapText="1"/>
      <protection locked="0" hidden="0"/>
    </xf>
    <xf numFmtId="0" fontId="8" fillId="0" borderId="23" applyAlignment="1" applyProtection="1" pivotButton="0" quotePrefix="0" xfId="0">
      <alignment vertical="center" wrapText="1"/>
      <protection locked="0" hidden="0"/>
    </xf>
    <xf numFmtId="0" fontId="8" fillId="0" borderId="26" applyAlignment="1" applyProtection="1" pivotButton="0" quotePrefix="0" xfId="0">
      <alignment vertical="center" wrapText="1"/>
      <protection locked="0" hidden="0"/>
    </xf>
    <xf numFmtId="0" fontId="8" fillId="0" borderId="27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28" applyAlignment="1" applyProtection="1" pivotButton="0" quotePrefix="0" xfId="0">
      <alignment vertical="center" wrapText="1"/>
      <protection locked="0" hidden="0"/>
    </xf>
    <xf numFmtId="49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1"/>
    <xf numFmtId="0" fontId="0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4" fillId="0" borderId="66" applyAlignment="1" applyProtection="1" pivotButton="0" quotePrefix="0" xfId="0">
      <alignment horizontal="center" vertical="center" wrapText="1"/>
      <protection locked="0" hidden="0"/>
    </xf>
    <xf numFmtId="0" fontId="4" fillId="0" borderId="67" applyAlignment="1" applyProtection="1" pivotButton="0" quotePrefix="0" xfId="0">
      <alignment horizontal="center" vertical="center" wrapText="1"/>
      <protection locked="0" hidden="0"/>
    </xf>
    <xf numFmtId="0" fontId="4" fillId="0" borderId="68" applyAlignment="1" applyProtection="1" pivotButton="0" quotePrefix="0" xfId="0">
      <alignment horizontal="center" vertical="center" wrapText="1"/>
      <protection locked="0" hidden="0"/>
    </xf>
    <xf numFmtId="0" fontId="4" fillId="0" borderId="78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horizontal="center"/>
    </xf>
    <xf numFmtId="0" fontId="14" fillId="0" borderId="0" pivotButton="0" quotePrefix="0" xfId="0"/>
    <xf numFmtId="0" fontId="17" fillId="0" borderId="31" applyAlignment="1" pivotButton="0" quotePrefix="0" xfId="0">
      <alignment horizontal="center" vertical="center"/>
    </xf>
    <xf numFmtId="0" fontId="17" fillId="4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/>
    </xf>
    <xf numFmtId="0" fontId="17" fillId="0" borderId="31" applyAlignment="1" pivotButton="0" quotePrefix="0" xfId="0">
      <alignment horizontal="center"/>
    </xf>
    <xf numFmtId="16" fontId="17" fillId="0" borderId="31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0" fillId="0" borderId="31" pivotButton="0" quotePrefix="0" xfId="0"/>
    <xf numFmtId="14" fontId="0" fillId="0" borderId="31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49" fontId="0" fillId="0" borderId="31" applyAlignment="1" pivotButton="0" quotePrefix="0" xfId="0">
      <alignment horizontal="center"/>
    </xf>
    <xf numFmtId="49" fontId="0" fillId="0" borderId="31" pivotButton="0" quotePrefix="0" xfId="0"/>
    <xf numFmtId="0" fontId="1" fillId="0" borderId="31" pivotButton="0" quotePrefix="0" xfId="0"/>
    <xf numFmtId="49" fontId="17" fillId="0" borderId="31" applyAlignment="1" pivotButton="0" quotePrefix="0" xfId="0">
      <alignment horizontal="center" vertical="center"/>
    </xf>
    <xf numFmtId="49" fontId="17" fillId="4" borderId="31" applyAlignment="1" pivotButton="0" quotePrefix="0" xfId="0">
      <alignment horizontal="center" vertical="center"/>
    </xf>
    <xf numFmtId="49" fontId="18" fillId="0" borderId="31" applyAlignment="1" pivotButton="0" quotePrefix="0" xfId="0">
      <alignment horizontal="center" vertical="center" wrapText="1"/>
    </xf>
    <xf numFmtId="49" fontId="18" fillId="0" borderId="31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  <xf numFmtId="0" fontId="17" fillId="0" borderId="55" applyAlignment="1" pivotButton="0" quotePrefix="0" xfId="0">
      <alignment horizontal="center" vertical="center"/>
    </xf>
    <xf numFmtId="0" fontId="17" fillId="4" borderId="55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/>
    </xf>
    <xf numFmtId="0" fontId="0" fillId="0" borderId="54" pivotButton="0" quotePrefix="0" xfId="0"/>
    <xf numFmtId="0" fontId="13" fillId="0" borderId="54" applyAlignment="1" pivotButton="0" quotePrefix="0" xfId="0">
      <alignment horizontal="center" vertical="center" wrapText="1"/>
    </xf>
    <xf numFmtId="0" fontId="1" fillId="0" borderId="54" pivotButton="0" quotePrefix="0" xfId="0"/>
    <xf numFmtId="0" fontId="14" fillId="0" borderId="57" applyAlignment="1" pivotButton="0" quotePrefix="0" xfId="0">
      <alignment horizontal="center" vertical="center"/>
    </xf>
    <xf numFmtId="49" fontId="1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center" vertical="center" wrapText="1"/>
    </xf>
    <xf numFmtId="0" fontId="13" fillId="0" borderId="64" applyAlignment="1" pivotButton="0" quotePrefix="0" xfId="0">
      <alignment horizontal="center" vertical="center"/>
    </xf>
    <xf numFmtId="49" fontId="13" fillId="0" borderId="64" applyAlignment="1" pivotButton="0" quotePrefix="0" xfId="0">
      <alignment horizontal="center" vertical="center" wrapText="1"/>
    </xf>
    <xf numFmtId="49" fontId="13" fillId="0" borderId="56" applyAlignment="1" pivotButton="0" quotePrefix="0" xfId="0">
      <alignment horizontal="center" vertical="center" wrapText="1"/>
    </xf>
    <xf numFmtId="0" fontId="17" fillId="5" borderId="58" applyAlignment="1" pivotButton="0" quotePrefix="0" xfId="0">
      <alignment horizontal="center" vertical="center"/>
    </xf>
    <xf numFmtId="49" fontId="17" fillId="5" borderId="59" applyAlignment="1" pivotButton="0" quotePrefix="0" xfId="0">
      <alignment horizontal="center" vertical="center"/>
    </xf>
    <xf numFmtId="0" fontId="17" fillId="5" borderId="59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59" applyAlignment="1" pivotButton="0" quotePrefix="0" xfId="0">
      <alignment horizontal="center"/>
    </xf>
    <xf numFmtId="49" fontId="0" fillId="0" borderId="59" pivotButton="0" quotePrefix="0" xfId="0"/>
    <xf numFmtId="0" fontId="0" fillId="0" borderId="60" pivotButton="0" quotePrefix="0" xfId="0"/>
    <xf numFmtId="0" fontId="0" fillId="0" borderId="31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 wrapText="1"/>
    </xf>
    <xf numFmtId="0" fontId="0" fillId="0" borderId="60" applyAlignment="1" pivotButton="0" quotePrefix="0" xfId="0">
      <alignment vertical="top" wrapText="1"/>
    </xf>
    <xf numFmtId="0" fontId="0" fillId="0" borderId="84" applyAlignment="1" pivotButton="0" quotePrefix="0" xfId="0">
      <alignment vertical="top" wrapText="1"/>
    </xf>
    <xf numFmtId="0" fontId="0" fillId="0" borderId="85" applyAlignment="1" pivotButton="0" quotePrefix="0" xfId="0">
      <alignment vertical="top" wrapText="1"/>
    </xf>
    <xf numFmtId="0" fontId="0" fillId="0" borderId="56" applyAlignment="1" pivotButton="0" quotePrefix="0" xfId="0">
      <alignment vertical="top" wrapText="1"/>
    </xf>
    <xf numFmtId="0" fontId="0" fillId="0" borderId="44" applyAlignment="1" pivotButton="0" quotePrefix="0" xfId="0">
      <alignment vertical="top" wrapText="1"/>
    </xf>
    <xf numFmtId="0" fontId="0" fillId="0" borderId="85" applyAlignment="1" pivotButton="0" quotePrefix="0" xfId="0">
      <alignment vertical="top"/>
    </xf>
    <xf numFmtId="0" fontId="0" fillId="0" borderId="58" applyAlignment="1" pivotButton="0" quotePrefix="0" xfId="0">
      <alignment vertical="top" wrapText="1"/>
    </xf>
    <xf numFmtId="0" fontId="0" fillId="0" borderId="86" applyAlignment="1" pivotButton="0" quotePrefix="0" xfId="0">
      <alignment vertical="top" wrapText="1"/>
    </xf>
    <xf numFmtId="0" fontId="0" fillId="0" borderId="57" applyAlignment="1" pivotButton="0" quotePrefix="0" xfId="0">
      <alignment vertical="top" wrapText="1"/>
    </xf>
    <xf numFmtId="0" fontId="26" fillId="7" borderId="64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24" fillId="7" borderId="64" applyAlignment="1" pivotButton="0" quotePrefix="0" xfId="0">
      <alignment horizontal="center" vertical="center"/>
    </xf>
    <xf numFmtId="0" fontId="24" fillId="7" borderId="64" applyAlignment="1" pivotButton="0" quotePrefix="0" xfId="0">
      <alignment horizontal="center" vertical="center" wrapText="1"/>
    </xf>
    <xf numFmtId="0" fontId="24" fillId="7" borderId="31" applyAlignment="1" pivotButton="0" quotePrefix="0" xfId="0">
      <alignment horizontal="center" vertical="center"/>
    </xf>
    <xf numFmtId="0" fontId="24" fillId="7" borderId="31" applyAlignment="1" pivotButton="0" quotePrefix="0" xfId="0">
      <alignment vertical="center"/>
    </xf>
    <xf numFmtId="0" fontId="24" fillId="7" borderId="31" applyAlignment="1" pivotButton="0" quotePrefix="0" xfId="0">
      <alignment horizontal="center" vertical="center" wrapText="1"/>
    </xf>
    <xf numFmtId="0" fontId="4" fillId="0" borderId="44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center" vertical="top" wrapText="1"/>
    </xf>
    <xf numFmtId="0" fontId="0" fillId="0" borderId="27" pivotButton="0" quotePrefix="0" xfId="0"/>
    <xf numFmtId="0" fontId="0" fillId="0" borderId="27" applyProtection="1" pivotButton="0" quotePrefix="0" xfId="0">
      <protection locked="0" hidden="0"/>
    </xf>
    <xf numFmtId="0" fontId="17" fillId="0" borderId="31" applyAlignment="1" pivotButton="0" quotePrefix="0" xfId="0">
      <alignment horizontal="center" vertical="center" wrapText="1"/>
    </xf>
    <xf numFmtId="0" fontId="17" fillId="4" borderId="31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 wrapText="1"/>
    </xf>
    <xf numFmtId="0" fontId="17" fillId="5" borderId="31" applyAlignment="1" pivotButton="0" quotePrefix="0" xfId="0">
      <alignment horizontal="center" vertical="center" wrapText="1"/>
    </xf>
    <xf numFmtId="0" fontId="17" fillId="5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top"/>
    </xf>
    <xf numFmtId="0" fontId="17" fillId="0" borderId="31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25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16" fillId="0" borderId="25" applyAlignment="1" pivotButton="0" quotePrefix="0" xfId="0">
      <alignment horizontal="center" vertical="center" wrapText="1"/>
    </xf>
    <xf numFmtId="0" fontId="16" fillId="0" borderId="23" applyAlignment="1" pivotButton="0" quotePrefix="0" xfId="0">
      <alignment horizontal="center" vertical="center"/>
    </xf>
    <xf numFmtId="0" fontId="16" fillId="0" borderId="2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28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/>
    </xf>
    <xf numFmtId="0" fontId="16" fillId="0" borderId="20" applyAlignment="1" pivotButton="0" quotePrefix="0" xfId="0">
      <alignment horizontal="center" vertical="center"/>
    </xf>
    <xf numFmtId="0" fontId="16" fillId="0" borderId="3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top" wrapText="1"/>
    </xf>
    <xf numFmtId="0" fontId="9" fillId="0" borderId="28" applyAlignment="1" pivotButton="0" quotePrefix="0" xfId="0">
      <alignment horizontal="center" vertical="top" wrapText="1"/>
    </xf>
    <xf numFmtId="14" fontId="9" fillId="0" borderId="0" applyAlignment="1" applyProtection="1" pivotButton="0" quotePrefix="0" xfId="0">
      <alignment horizontal="center" vertical="top" wrapText="1"/>
      <protection locked="0" hidden="0"/>
    </xf>
    <xf numFmtId="0" fontId="9" fillId="0" borderId="0" applyAlignment="1" applyProtection="1" pivotButton="0" quotePrefix="0" xfId="0">
      <alignment horizontal="center" vertical="top" wrapText="1"/>
      <protection locked="0" hidden="0"/>
    </xf>
    <xf numFmtId="0" fontId="9" fillId="0" borderId="28" applyAlignment="1" applyProtection="1" pivotButton="0" quotePrefix="0" xfId="0">
      <alignment horizontal="center" vertical="top" wrapText="1"/>
      <protection locked="0" hidden="0"/>
    </xf>
    <xf numFmtId="0" fontId="9" fillId="2" borderId="25" applyAlignment="1" pivotButton="0" quotePrefix="0" xfId="0">
      <alignment horizontal="center" vertical="top" wrapText="1"/>
    </xf>
    <xf numFmtId="0" fontId="9" fillId="2" borderId="23" applyAlignment="1" pivotButton="0" quotePrefix="0" xfId="0">
      <alignment horizontal="center" vertical="top" wrapText="1"/>
    </xf>
    <xf numFmtId="0" fontId="9" fillId="2" borderId="26" applyAlignment="1" pivotButton="0" quotePrefix="0" xfId="0">
      <alignment horizontal="center" vertical="top" wrapText="1"/>
    </xf>
    <xf numFmtId="0" fontId="9" fillId="2" borderId="29" applyAlignment="1" pivotButton="0" quotePrefix="0" xfId="0">
      <alignment horizontal="center" vertical="top" wrapText="1"/>
    </xf>
    <xf numFmtId="0" fontId="9" fillId="2" borderId="20" applyAlignment="1" pivotButton="0" quotePrefix="0" xfId="0">
      <alignment horizontal="center" vertical="top" wrapText="1"/>
    </xf>
    <xf numFmtId="0" fontId="9" fillId="2" borderId="30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center" wrapText="1" indent="1"/>
    </xf>
    <xf numFmtId="0" fontId="4" fillId="0" borderId="8" applyAlignment="1" pivotButton="0" quotePrefix="0" xfId="0">
      <alignment horizontal="left" vertical="center" wrapText="1" indent="1"/>
    </xf>
    <xf numFmtId="0" fontId="0" fillId="0" borderId="31" applyAlignment="1" pivotButton="0" quotePrefix="0" xfId="0">
      <alignment horizontal="left" vertical="center" wrapText="1" indent="1"/>
    </xf>
    <xf numFmtId="0" fontId="19" fillId="0" borderId="31" applyAlignment="1" pivotButton="0" quotePrefix="0" xfId="0">
      <alignment horizontal="left" vertical="center" wrapText="1" indent="1"/>
    </xf>
    <xf numFmtId="0" fontId="8" fillId="0" borderId="81" applyAlignment="1" pivotButton="0" quotePrefix="0" xfId="0">
      <alignment horizontal="center" vertical="center" wrapText="1"/>
    </xf>
    <xf numFmtId="0" fontId="8" fillId="0" borderId="82" applyAlignment="1" pivotButton="0" quotePrefix="0" xfId="0">
      <alignment horizontal="center" vertical="center" wrapText="1"/>
    </xf>
    <xf numFmtId="0" fontId="0" fillId="0" borderId="82" applyAlignment="1" pivotButton="0" quotePrefix="0" xfId="0">
      <alignment horizontal="left" vertical="center" wrapText="1" indent="1"/>
    </xf>
    <xf numFmtId="0" fontId="19" fillId="0" borderId="82" applyAlignment="1" pivotButton="0" quotePrefix="0" xfId="0">
      <alignment horizontal="left" vertical="center" wrapText="1" indent="1"/>
    </xf>
    <xf numFmtId="0" fontId="19" fillId="0" borderId="83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 indent="1"/>
    </xf>
    <xf numFmtId="0" fontId="0" fillId="0" borderId="7" applyAlignment="1" pivotButton="0" quotePrefix="0" xfId="0">
      <alignment horizontal="left" vertical="center" wrapText="1" indent="3"/>
    </xf>
    <xf numFmtId="0" fontId="10" fillId="0" borderId="8" applyAlignment="1" pivotButton="0" quotePrefix="0" xfId="0">
      <alignment horizontal="left" vertical="center" wrapText="1" indent="3"/>
    </xf>
    <xf numFmtId="0" fontId="10" fillId="0" borderId="2" applyAlignment="1" pivotButton="0" quotePrefix="0" xfId="0">
      <alignment horizontal="left" vertical="center" wrapText="1" indent="3"/>
    </xf>
    <xf numFmtId="0" fontId="10" fillId="0" borderId="3" applyAlignment="1" pivotButton="0" quotePrefix="0" xfId="0">
      <alignment horizontal="left" vertical="center" wrapText="1" indent="3"/>
    </xf>
    <xf numFmtId="0" fontId="19" fillId="0" borderId="7" applyAlignment="1" pivotButton="0" quotePrefix="0" xfId="0">
      <alignment horizontal="left" vertical="center" wrapText="1" indent="6"/>
    </xf>
    <xf numFmtId="0" fontId="19" fillId="0" borderId="8" applyAlignment="1" pivotButton="0" quotePrefix="0" xfId="0">
      <alignment horizontal="left" vertical="center" wrapText="1" indent="6"/>
    </xf>
    <xf numFmtId="0" fontId="19" fillId="0" borderId="9" applyAlignment="1" pivotButton="0" quotePrefix="0" xfId="0">
      <alignment horizontal="left" vertical="center" wrapText="1" indent="6"/>
    </xf>
    <xf numFmtId="0" fontId="4" fillId="0" borderId="15" applyAlignment="1" pivotButton="0" quotePrefix="0" xfId="0">
      <alignment horizontal="left" vertical="center" wrapText="1" indent="1"/>
    </xf>
    <xf numFmtId="0" fontId="4" fillId="0" borderId="16" applyAlignment="1" pivotButton="0" quotePrefix="0" xfId="0">
      <alignment horizontal="left" vertical="center" wrapText="1" indent="1"/>
    </xf>
    <xf numFmtId="0" fontId="4" fillId="0" borderId="17" applyAlignment="1" pivotButton="0" quotePrefix="0" xfId="0">
      <alignment horizontal="left" vertical="center" wrapText="1" indent="1"/>
    </xf>
    <xf numFmtId="0" fontId="19" fillId="0" borderId="8" applyAlignment="1" pivotButton="0" quotePrefix="0" xfId="0">
      <alignment horizontal="left" vertical="center" wrapText="1" indent="3"/>
    </xf>
    <xf numFmtId="0" fontId="19" fillId="0" borderId="9" applyAlignment="1" pivotButton="0" quotePrefix="0" xfId="0">
      <alignment horizontal="left" vertical="center" wrapText="1" indent="3"/>
    </xf>
    <xf numFmtId="14" fontId="0" fillId="0" borderId="64" applyAlignment="1" pivotButton="0" quotePrefix="0" xfId="0">
      <alignment horizontal="left" vertical="center" wrapText="1" indent="1"/>
    </xf>
    <xf numFmtId="14" fontId="19" fillId="0" borderId="64" applyAlignment="1" pivotButton="0" quotePrefix="0" xfId="0">
      <alignment horizontal="left" vertical="center" wrapText="1" indent="1"/>
    </xf>
    <xf numFmtId="0" fontId="8" fillId="0" borderId="64" applyAlignment="1" pivotButton="0" quotePrefix="0" xfId="0">
      <alignment horizontal="left" vertical="center" wrapText="1" indent="1"/>
    </xf>
    <xf numFmtId="0" fontId="0" fillId="0" borderId="64" applyAlignment="1" pivotButton="0" quotePrefix="0" xfId="0">
      <alignment horizontal="left" vertical="center" wrapText="1" indent="1"/>
    </xf>
    <xf numFmtId="0" fontId="19" fillId="0" borderId="64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left" vertical="center" wrapText="1"/>
    </xf>
    <xf numFmtId="0" fontId="9" fillId="0" borderId="23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left" vertical="center" wrapText="1" indent="1"/>
    </xf>
    <xf numFmtId="14" fontId="0" fillId="0" borderId="31" applyAlignment="1" pivotButton="0" quotePrefix="0" xfId="0">
      <alignment horizontal="left" vertical="center" wrapText="1" indent="1"/>
    </xf>
    <xf numFmtId="14" fontId="19" fillId="0" borderId="31" applyAlignment="1" pivotButton="0" quotePrefix="0" xfId="0">
      <alignment horizontal="left" vertical="center" wrapText="1" indent="1"/>
    </xf>
    <xf numFmtId="0" fontId="11" fillId="0" borderId="10" applyAlignment="1" pivotButton="0" quotePrefix="0" xfId="0">
      <alignment horizontal="left" indent="1"/>
    </xf>
    <xf numFmtId="0" fontId="11" fillId="0" borderId="11" applyAlignment="1" pivotButton="0" quotePrefix="0" xfId="0">
      <alignment horizontal="left" indent="1"/>
    </xf>
    <xf numFmtId="0" fontId="0" fillId="0" borderId="10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14" fontId="0" fillId="0" borderId="7" applyAlignment="1" pivotButton="0" quotePrefix="0" xfId="0">
      <alignment horizontal="left" vertical="center" wrapText="1" indent="1"/>
    </xf>
    <xf numFmtId="14" fontId="19" fillId="0" borderId="8" applyAlignment="1" pivotButton="0" quotePrefix="0" xfId="0">
      <alignment horizontal="left" vertical="center" wrapText="1" indent="1"/>
    </xf>
    <xf numFmtId="14" fontId="19" fillId="0" borderId="9" applyAlignment="1" pivotButton="0" quotePrefix="0" xfId="0">
      <alignment horizontal="left" vertical="center" wrapText="1" indent="1"/>
    </xf>
    <xf numFmtId="164" fontId="4" fillId="0" borderId="10" applyAlignment="1" pivotButton="0" quotePrefix="0" xfId="0">
      <alignment horizontal="left" vertical="center" wrapText="1"/>
    </xf>
    <xf numFmtId="164" fontId="4" fillId="0" borderId="18" applyAlignment="1" pivotButton="0" quotePrefix="0" xfId="0">
      <alignment horizontal="left" vertical="center" wrapText="1"/>
    </xf>
    <xf numFmtId="164" fontId="4" fillId="0" borderId="11" applyAlignment="1" pivotButton="0" quotePrefix="0" xfId="0">
      <alignment horizontal="left" vertical="center" wrapText="1"/>
    </xf>
    <xf numFmtId="0" fontId="9" fillId="2" borderId="10" applyAlignment="1" pivotButton="0" quotePrefix="0" xfId="0">
      <alignment horizontal="center" vertical="center" wrapText="1"/>
    </xf>
    <xf numFmtId="0" fontId="9" fillId="2" borderId="18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 wrapText="1"/>
    </xf>
    <xf numFmtId="164" fontId="4" fillId="0" borderId="10" applyAlignment="1" pivotButton="0" quotePrefix="0" xfId="0">
      <alignment horizontal="left" vertical="center" wrapText="1" indent="1"/>
    </xf>
    <xf numFmtId="164" fontId="4" fillId="0" borderId="18" applyAlignment="1" pivotButton="0" quotePrefix="0" xfId="0">
      <alignment horizontal="left" vertical="center" wrapText="1" indent="1"/>
    </xf>
    <xf numFmtId="49" fontId="0" fillId="0" borderId="7" applyAlignment="1" pivotButton="0" quotePrefix="0" xfId="0">
      <alignment horizontal="left" vertical="center" wrapText="1" indent="1"/>
    </xf>
    <xf numFmtId="49" fontId="19" fillId="0" borderId="8" applyAlignment="1" pivotButton="0" quotePrefix="0" xfId="0">
      <alignment horizontal="left" vertical="center" wrapText="1" indent="1"/>
    </xf>
    <xf numFmtId="49" fontId="19" fillId="0" borderId="9" applyAlignment="1" pivotButton="0" quotePrefix="0" xfId="0">
      <alignment horizontal="left" vertical="center" wrapText="1" indent="1"/>
    </xf>
    <xf numFmtId="0" fontId="19" fillId="0" borderId="5" applyAlignment="1" pivotButton="0" quotePrefix="0" xfId="0">
      <alignment horizontal="left" vertical="center" wrapText="1" indent="3"/>
    </xf>
    <xf numFmtId="0" fontId="19" fillId="0" borderId="6" applyAlignment="1" pivotButton="0" quotePrefix="0" xfId="0">
      <alignment horizontal="left" vertical="center" wrapText="1" indent="3"/>
    </xf>
    <xf numFmtId="164" fontId="4" fillId="0" borderId="1" applyAlignment="1" pivotButton="0" quotePrefix="0" xfId="0">
      <alignment horizontal="left" vertical="center" wrapText="1" indent="1"/>
    </xf>
    <xf numFmtId="164" fontId="4" fillId="0" borderId="2" applyAlignment="1" pivotButton="0" quotePrefix="0" xfId="0">
      <alignment horizontal="left" vertical="center" wrapText="1" indent="1"/>
    </xf>
    <xf numFmtId="164" fontId="4" fillId="0" borderId="36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3" borderId="18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4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 vertical="center" wrapText="1" indent="1"/>
    </xf>
    <xf numFmtId="0" fontId="4" fillId="0" borderId="22" applyAlignment="1" pivotButton="0" quotePrefix="0" xfId="0">
      <alignment horizontal="left" vertical="center" wrapText="1" indent="1"/>
    </xf>
    <xf numFmtId="0" fontId="4" fillId="0" borderId="13" applyAlignment="1" pivotButton="0" quotePrefix="0" xfId="0">
      <alignment horizontal="left" vertical="center" wrapText="1" indent="1"/>
    </xf>
    <xf numFmtId="0" fontId="4" fillId="0" borderId="3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64" fontId="4" fillId="0" borderId="37" applyAlignment="1" pivotButton="0" quotePrefix="0" xfId="0">
      <alignment horizontal="center" vertical="center" wrapText="1"/>
    </xf>
    <xf numFmtId="164" fontId="4" fillId="0" borderId="36" applyAlignment="1" pivotButton="0" quotePrefix="0" xfId="0">
      <alignment horizontal="left" vertical="center" wrapText="1" indent="1"/>
    </xf>
    <xf numFmtId="164" fontId="4" fillId="0" borderId="37" applyAlignment="1" pivotButton="0" quotePrefix="0" xfId="0">
      <alignment horizontal="left" vertical="center" wrapText="1" indent="1"/>
    </xf>
    <xf numFmtId="0" fontId="4" fillId="0" borderId="27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28" applyAlignment="1" applyProtection="1" pivotButton="0" quotePrefix="0" xfId="0">
      <alignment horizontal="left" vertical="center" wrapText="1"/>
      <protection locked="0" hidden="0"/>
    </xf>
    <xf numFmtId="0" fontId="4" fillId="0" borderId="20" applyAlignment="1" applyProtection="1" pivotButton="0" quotePrefix="0" xfId="0">
      <alignment horizontal="left" vertical="center" wrapText="1"/>
      <protection locked="0" hidden="0"/>
    </xf>
    <xf numFmtId="0" fontId="4" fillId="0" borderId="30" applyAlignment="1" applyProtection="1" pivotButton="0" quotePrefix="0" xfId="0">
      <alignment horizontal="left" vertical="center" wrapText="1"/>
      <protection locked="0" hidden="0"/>
    </xf>
    <xf numFmtId="0" fontId="4" fillId="0" borderId="29" applyAlignment="1" applyProtection="1" pivotButton="0" quotePrefix="0" xfId="0">
      <alignment horizontal="left" vertical="center" wrapText="1"/>
      <protection locked="0" hidden="0"/>
    </xf>
    <xf numFmtId="0" fontId="9" fillId="2" borderId="25" applyAlignment="1" applyProtection="1" pivotButton="0" quotePrefix="0" xfId="0">
      <alignment horizontal="center" vertical="top" wrapText="1"/>
      <protection locked="0" hidden="0"/>
    </xf>
    <xf numFmtId="0" fontId="9" fillId="2" borderId="23" applyAlignment="1" applyProtection="1" pivotButton="0" quotePrefix="0" xfId="0">
      <alignment horizontal="center" vertical="top" wrapText="1"/>
      <protection locked="0" hidden="0"/>
    </xf>
    <xf numFmtId="0" fontId="9" fillId="2" borderId="26" applyAlignment="1" applyProtection="1" pivotButton="0" quotePrefix="0" xfId="0">
      <alignment horizontal="center" vertical="top" wrapText="1"/>
      <protection locked="0" hidden="0"/>
    </xf>
    <xf numFmtId="0" fontId="9" fillId="2" borderId="29" applyAlignment="1" applyProtection="1" pivotButton="0" quotePrefix="0" xfId="0">
      <alignment horizontal="center" vertical="top" wrapText="1"/>
      <protection locked="0" hidden="0"/>
    </xf>
    <xf numFmtId="0" fontId="9" fillId="2" borderId="20" applyAlignment="1" applyProtection="1" pivotButton="0" quotePrefix="0" xfId="0">
      <alignment horizontal="center" vertical="top" wrapText="1"/>
      <protection locked="0" hidden="0"/>
    </xf>
    <xf numFmtId="0" fontId="9" fillId="2" borderId="30" applyAlignment="1" applyProtection="1" pivotButton="0" quotePrefix="0" xfId="0">
      <alignment horizontal="center" vertical="top" wrapText="1"/>
      <protection locked="0" hidden="0"/>
    </xf>
    <xf numFmtId="0" fontId="4" fillId="0" borderId="10" applyAlignment="1" applyProtection="1" pivotButton="0" quotePrefix="0" xfId="0">
      <alignment horizontal="center" vertical="center" wrapText="1"/>
      <protection locked="0" hidden="0"/>
    </xf>
    <xf numFmtId="0" fontId="4" fillId="0" borderId="18" applyAlignment="1" applyProtection="1" pivotButton="0" quotePrefix="0" xfId="0">
      <alignment horizontal="center" vertical="center" wrapText="1"/>
      <protection locked="0" hidden="0"/>
    </xf>
    <xf numFmtId="0" fontId="4" fillId="0" borderId="11" applyAlignment="1" applyProtection="1" pivotButton="0" quotePrefix="0" xfId="0">
      <alignment horizontal="center" vertical="center" wrapText="1"/>
      <protection locked="0" hidden="0"/>
    </xf>
    <xf numFmtId="0" fontId="4" fillId="0" borderId="45" applyAlignment="1" applyProtection="1" pivotButton="0" quotePrefix="0" xfId="0">
      <alignment horizontal="center" vertical="center" wrapText="1"/>
      <protection locked="0" hidden="0"/>
    </xf>
    <xf numFmtId="0" fontId="4" fillId="0" borderId="46" applyAlignment="1" applyProtection="1" pivotButton="0" quotePrefix="0" xfId="0">
      <alignment horizontal="center" vertical="center" wrapText="1"/>
      <protection locked="0" hidden="0"/>
    </xf>
    <xf numFmtId="0" fontId="4" fillId="0" borderId="47" applyAlignment="1" applyProtection="1" pivotButton="0" quotePrefix="0" xfId="0">
      <alignment horizontal="center" vertical="center" wrapText="1"/>
      <protection locked="0" hidden="0"/>
    </xf>
    <xf numFmtId="0" fontId="4" fillId="0" borderId="51" applyAlignment="1" applyProtection="1" pivotButton="0" quotePrefix="0" xfId="0">
      <alignment horizontal="center" vertical="center" wrapText="1"/>
      <protection locked="0" hidden="0"/>
    </xf>
    <xf numFmtId="0" fontId="4" fillId="0" borderId="25" applyAlignment="1" applyProtection="1" pivotButton="0" quotePrefix="0" xfId="0">
      <alignment horizontal="left" vertical="center" wrapText="1"/>
      <protection locked="0" hidden="0"/>
    </xf>
    <xf numFmtId="0" fontId="4" fillId="0" borderId="23" applyAlignment="1" applyProtection="1" pivotButton="0" quotePrefix="0" xfId="0">
      <alignment horizontal="left" vertical="center" wrapText="1"/>
      <protection locked="0" hidden="0"/>
    </xf>
    <xf numFmtId="0" fontId="4" fillId="0" borderId="26" applyAlignment="1" applyProtection="1" pivotButton="0" quotePrefix="0" xfId="0">
      <alignment horizontal="left" vertical="center" wrapText="1"/>
      <protection locked="0" hidden="0"/>
    </xf>
    <xf numFmtId="0" fontId="4" fillId="0" borderId="48" applyAlignment="1" applyProtection="1" pivotButton="0" quotePrefix="0" xfId="0">
      <alignment horizontal="center" vertical="center" wrapText="1"/>
      <protection locked="0" hidden="0"/>
    </xf>
    <xf numFmtId="0" fontId="4" fillId="0" borderId="49" applyAlignment="1" applyProtection="1" pivotButton="0" quotePrefix="0" xfId="0">
      <alignment horizontal="center" vertical="center" wrapText="1"/>
      <protection locked="0" hidden="0"/>
    </xf>
    <xf numFmtId="0" fontId="4" fillId="0" borderId="50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pivotButton="0" quotePrefix="0" xfId="0">
      <alignment horizontal="left" vertical="center" wrapText="1" indent="1"/>
    </xf>
    <xf numFmtId="0" fontId="5" fillId="0" borderId="5" applyAlignment="1" pivotButton="0" quotePrefix="0" xfId="0">
      <alignment horizontal="left" vertical="center" wrapText="1" indent="1"/>
    </xf>
    <xf numFmtId="0" fontId="5" fillId="0" borderId="6" applyAlignment="1" pivotButton="0" quotePrefix="0" xfId="0">
      <alignment horizontal="left" vertical="center" wrapText="1" inden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9" fillId="0" borderId="7" applyAlignment="1" applyProtection="1" pivotButton="0" quotePrefix="0" xfId="0">
      <alignment horizontal="left" vertical="center" wrapText="1" indent="3"/>
      <protection locked="0" hidden="0"/>
    </xf>
    <xf numFmtId="0" fontId="19" fillId="0" borderId="8" applyAlignment="1" applyProtection="1" pivotButton="0" quotePrefix="0" xfId="0">
      <alignment horizontal="left" vertical="center" wrapText="1" indent="3"/>
      <protection locked="0" hidden="0"/>
    </xf>
    <xf numFmtId="0" fontId="19" fillId="0" borderId="9" applyAlignment="1" applyProtection="1" pivotButton="0" quotePrefix="0" xfId="0">
      <alignment horizontal="left" vertical="center" wrapText="1" indent="3"/>
      <protection locked="0" hidden="0"/>
    </xf>
    <xf numFmtId="0" fontId="4" fillId="0" borderId="7" applyAlignment="1" applyProtection="1" pivotButton="0" quotePrefix="0" xfId="0">
      <alignment horizontal="left" vertical="center" wrapText="1" indent="1"/>
      <protection locked="0" hidden="0"/>
    </xf>
    <xf numFmtId="0" fontId="4" fillId="0" borderId="8" applyAlignment="1" applyProtection="1" pivotButton="0" quotePrefix="0" xfId="0">
      <alignment horizontal="left" vertical="center" wrapText="1" indent="1"/>
      <protection locked="0" hidden="0"/>
    </xf>
    <xf numFmtId="0" fontId="4" fillId="0" borderId="9" applyAlignment="1" applyProtection="1" pivotButton="0" quotePrefix="0" xfId="0">
      <alignment horizontal="left" vertical="center" wrapText="1" indent="1"/>
      <protection locked="0" hidden="0"/>
    </xf>
    <xf numFmtId="0" fontId="19" fillId="0" borderId="7" applyAlignment="1" applyProtection="1" pivotButton="0" quotePrefix="0" xfId="0">
      <alignment horizontal="left" vertical="center" wrapText="1" indent="1"/>
      <protection locked="0" hidden="0"/>
    </xf>
    <xf numFmtId="0" fontId="19" fillId="0" borderId="8" applyAlignment="1" applyProtection="1" pivotButton="0" quotePrefix="0" xfId="0">
      <alignment horizontal="left" vertical="center" wrapText="1" indent="1"/>
      <protection locked="0" hidden="0"/>
    </xf>
    <xf numFmtId="0" fontId="19" fillId="0" borderId="9" applyAlignment="1" applyProtection="1" pivotButton="0" quotePrefix="0" xfId="0">
      <alignment horizontal="left" vertical="center" wrapText="1" indent="1"/>
      <protection locked="0" hidden="0"/>
    </xf>
    <xf numFmtId="0" fontId="19" fillId="0" borderId="7" applyAlignment="1" applyProtection="1" pivotButton="0" quotePrefix="0" xfId="0">
      <alignment horizontal="left" vertical="center" wrapText="1" indent="2"/>
      <protection locked="0" hidden="0"/>
    </xf>
    <xf numFmtId="0" fontId="19" fillId="0" borderId="8" applyAlignment="1" applyProtection="1" pivotButton="0" quotePrefix="0" xfId="0">
      <alignment horizontal="left" vertical="center" wrapText="1" indent="2"/>
      <protection locked="0" hidden="0"/>
    </xf>
    <xf numFmtId="0" fontId="19" fillId="0" borderId="9" applyAlignment="1" applyProtection="1" pivotButton="0" quotePrefix="0" xfId="0">
      <alignment horizontal="left" vertical="center" wrapText="1" indent="2"/>
      <protection locked="0" hidden="0"/>
    </xf>
    <xf numFmtId="0" fontId="19" fillId="0" borderId="7" applyAlignment="1" applyProtection="1" pivotButton="0" quotePrefix="0" xfId="0">
      <alignment horizontal="left" vertical="center" indent="2"/>
      <protection locked="0" hidden="0"/>
    </xf>
    <xf numFmtId="0" fontId="19" fillId="0" borderId="8" applyAlignment="1" applyProtection="1" pivotButton="0" quotePrefix="0" xfId="0">
      <alignment horizontal="left" vertical="center" indent="2"/>
      <protection locked="0" hidden="0"/>
    </xf>
    <xf numFmtId="0" fontId="19" fillId="0" borderId="9" applyAlignment="1" applyProtection="1" pivotButton="0" quotePrefix="0" xfId="0">
      <alignment horizontal="left" vertical="center" indent="2"/>
      <protection locked="0" hidden="0"/>
    </xf>
    <xf numFmtId="0" fontId="19" fillId="0" borderId="7" applyAlignment="1" pivotButton="0" quotePrefix="0" xfId="0">
      <alignment horizontal="left" vertical="center" wrapText="1" indent="1"/>
    </xf>
    <xf numFmtId="0" fontId="19" fillId="0" borderId="8" applyAlignment="1" pivotButton="0" quotePrefix="0" xfId="0">
      <alignment horizontal="left" vertical="center" wrapText="1" indent="1"/>
    </xf>
    <xf numFmtId="0" fontId="19" fillId="0" borderId="9" applyAlignment="1" pivotButton="0" quotePrefix="0" xfId="0">
      <alignment horizontal="left" vertical="center" wrapText="1" indent="1"/>
    </xf>
    <xf numFmtId="0" fontId="5" fillId="0" borderId="21" applyAlignment="1" pivotButton="0" quotePrefix="0" xfId="0">
      <alignment horizontal="left" vertical="center" wrapText="1" indent="1"/>
    </xf>
    <xf numFmtId="0" fontId="5" fillId="0" borderId="22" applyAlignment="1" pivotButton="0" quotePrefix="0" xfId="0">
      <alignment horizontal="left" vertical="center" wrapText="1" indent="1"/>
    </xf>
    <xf numFmtId="0" fontId="5" fillId="0" borderId="24" applyAlignment="1" pivotButton="0" quotePrefix="0" xfId="0">
      <alignment horizontal="left" vertical="center" wrapText="1" indent="1"/>
    </xf>
    <xf numFmtId="0" fontId="5" fillId="0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45" applyAlignment="1" applyProtection="1" pivotButton="0" quotePrefix="0" xfId="0">
      <alignment horizontal="center" vertical="center" wrapText="1"/>
      <protection locked="0" hidden="0"/>
    </xf>
    <xf numFmtId="0" fontId="5" fillId="0" borderId="46" applyAlignment="1" applyProtection="1" pivotButton="0" quotePrefix="0" xfId="0">
      <alignment horizontal="center" vertical="center" wrapText="1"/>
      <protection locked="0" hidden="0"/>
    </xf>
    <xf numFmtId="0" fontId="5" fillId="0" borderId="47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 indent="1"/>
      <protection locked="0" hidden="0"/>
    </xf>
    <xf numFmtId="0" fontId="4" fillId="0" borderId="2" applyAlignment="1" applyProtection="1" pivotButton="0" quotePrefix="0" xfId="0">
      <alignment horizontal="left" vertical="center" wrapText="1" indent="1"/>
      <protection locked="0" hidden="0"/>
    </xf>
    <xf numFmtId="0" fontId="4" fillId="0" borderId="3" applyAlignment="1" applyProtection="1" pivotButton="0" quotePrefix="0" xfId="0">
      <alignment horizontal="left" vertical="center" wrapText="1" indent="1"/>
      <protection locked="0" hidden="0"/>
    </xf>
    <xf numFmtId="0" fontId="19" fillId="0" borderId="1" applyAlignment="1" applyProtection="1" pivotButton="0" quotePrefix="0" xfId="0">
      <alignment horizontal="left" vertical="center" wrapText="1" indent="1"/>
      <protection locked="0" hidden="0"/>
    </xf>
    <xf numFmtId="0" fontId="19" fillId="0" borderId="2" applyAlignment="1" applyProtection="1" pivotButton="0" quotePrefix="0" xfId="0">
      <alignment horizontal="left" vertical="center" wrapText="1" indent="1"/>
      <protection locked="0" hidden="0"/>
    </xf>
    <xf numFmtId="0" fontId="19" fillId="0" borderId="3" applyAlignment="1" applyProtection="1" pivotButton="0" quotePrefix="0" xfId="0">
      <alignment horizontal="left" vertical="center" wrapText="1" indent="1"/>
      <protection locked="0" hidden="0"/>
    </xf>
    <xf numFmtId="0" fontId="19" fillId="0" borderId="1" applyAlignment="1" applyProtection="1" pivotButton="0" quotePrefix="0" xfId="0">
      <alignment horizontal="left" vertical="center" wrapText="1" indent="2"/>
      <protection locked="0" hidden="0"/>
    </xf>
    <xf numFmtId="0" fontId="19" fillId="0" borderId="2" applyAlignment="1" applyProtection="1" pivotButton="0" quotePrefix="0" xfId="0">
      <alignment horizontal="left" vertical="center" wrapText="1" indent="2"/>
      <protection locked="0" hidden="0"/>
    </xf>
    <xf numFmtId="0" fontId="19" fillId="0" borderId="3" applyAlignment="1" applyProtection="1" pivotButton="0" quotePrefix="0" xfId="0">
      <alignment horizontal="left" vertical="center" wrapText="1" indent="2"/>
      <protection locked="0" hidden="0"/>
    </xf>
    <xf numFmtId="0" fontId="19" fillId="0" borderId="75" applyAlignment="1" applyProtection="1" pivotButton="0" quotePrefix="0" xfId="0">
      <alignment horizontal="center" vertical="center" wrapText="1"/>
      <protection locked="0" hidden="0"/>
    </xf>
    <xf numFmtId="0" fontId="19" fillId="0" borderId="76" applyAlignment="1" applyProtection="1" pivotButton="0" quotePrefix="0" xfId="0">
      <alignment horizontal="center" vertical="center" wrapText="1"/>
      <protection locked="0" hidden="0"/>
    </xf>
    <xf numFmtId="0" fontId="19" fillId="0" borderId="77" applyAlignment="1" applyProtection="1" pivotButton="0" quotePrefix="0" xfId="0">
      <alignment horizontal="center" vertical="center" wrapText="1"/>
      <protection locked="0" hidden="0"/>
    </xf>
    <xf numFmtId="0" fontId="5" fillId="0" borderId="10" applyAlignment="1" applyProtection="1" pivotButton="0" quotePrefix="0" xfId="0">
      <alignment horizontal="left" vertical="center" wrapText="1" indent="1"/>
      <protection locked="0" hidden="0"/>
    </xf>
    <xf numFmtId="0" fontId="5" fillId="0" borderId="18" applyAlignment="1" applyProtection="1" pivotButton="0" quotePrefix="0" xfId="0">
      <alignment horizontal="left" vertical="center" wrapText="1" indent="1"/>
      <protection locked="0" hidden="0"/>
    </xf>
    <xf numFmtId="0" fontId="5" fillId="0" borderId="11" applyAlignment="1" applyProtection="1" pivotButton="0" quotePrefix="0" xfId="0">
      <alignment horizontal="left" vertical="center" wrapText="1" indent="1"/>
      <protection locked="0" hidden="0"/>
    </xf>
    <xf numFmtId="0" fontId="19" fillId="0" borderId="10" applyAlignment="1" applyProtection="1" pivotButton="0" quotePrefix="0" xfId="0">
      <alignment horizontal="center" vertical="center" wrapText="1"/>
      <protection locked="0" hidden="0"/>
    </xf>
    <xf numFmtId="0" fontId="19" fillId="0" borderId="18" applyAlignment="1" applyProtection="1" pivotButton="0" quotePrefix="0" xfId="0">
      <alignment horizontal="center" vertical="center" wrapText="1"/>
      <protection locked="0" hidden="0"/>
    </xf>
    <xf numFmtId="0" fontId="19" fillId="0" borderId="11" applyAlignment="1" applyProtection="1" pivotButton="0" quotePrefix="0" xfId="0">
      <alignment horizontal="center" vertical="center" wrapText="1"/>
      <protection locked="0" hidden="0"/>
    </xf>
    <xf numFmtId="0" fontId="5" fillId="0" borderId="45" applyAlignment="1" applyProtection="1" pivotButton="0" quotePrefix="0" xfId="0">
      <alignment horizontal="left" vertical="center" wrapText="1" indent="1"/>
      <protection locked="0" hidden="0"/>
    </xf>
    <xf numFmtId="0" fontId="5" fillId="0" borderId="46" applyAlignment="1" applyProtection="1" pivotButton="0" quotePrefix="0" xfId="0">
      <alignment horizontal="left" vertical="center" wrapText="1" indent="1"/>
      <protection locked="0" hidden="0"/>
    </xf>
    <xf numFmtId="0" fontId="5" fillId="0" borderId="47" applyAlignment="1" applyProtection="1" pivotButton="0" quotePrefix="0" xfId="0">
      <alignment horizontal="left" vertical="center" wrapText="1" indent="1"/>
      <protection locked="0" hidden="0"/>
    </xf>
    <xf numFmtId="0" fontId="5" fillId="0" borderId="51" applyAlignment="1" applyProtection="1" pivotButton="0" quotePrefix="0" xfId="0">
      <alignment horizontal="center" vertical="center" wrapText="1"/>
      <protection locked="0" hidden="0"/>
    </xf>
    <xf numFmtId="0" fontId="5" fillId="0" borderId="69" applyAlignment="1" applyProtection="1" pivotButton="0" quotePrefix="0" xfId="0">
      <alignment horizontal="center" vertical="center" wrapText="1"/>
      <protection locked="0" hidden="0"/>
    </xf>
    <xf numFmtId="0" fontId="4" fillId="0" borderId="57" applyAlignment="1" applyProtection="1" pivotButton="0" quotePrefix="0" xfId="0">
      <alignment horizontal="center" vertical="center" wrapText="1"/>
      <protection locked="0" hidden="0"/>
    </xf>
    <xf numFmtId="0" fontId="4" fillId="0" borderId="64" applyAlignment="1" applyProtection="1" pivotButton="0" quotePrefix="0" xfId="0">
      <alignment horizontal="center" vertical="center" wrapText="1"/>
      <protection locked="0" hidden="0"/>
    </xf>
    <xf numFmtId="0" fontId="4" fillId="0" borderId="65" applyAlignment="1" applyProtection="1" pivotButton="0" quotePrefix="0" xfId="0">
      <alignment horizontal="center" vertical="center" wrapText="1"/>
      <protection locked="0" hidden="0"/>
    </xf>
    <xf numFmtId="0" fontId="4" fillId="0" borderId="55" applyAlignment="1" applyProtection="1" pivotButton="0" quotePrefix="0" xfId="0">
      <alignment horizontal="center" vertical="center" wrapText="1"/>
      <protection locked="0" hidden="0"/>
    </xf>
    <xf numFmtId="0" fontId="4" fillId="0" borderId="31" applyAlignment="1" applyProtection="1" pivotButton="0" quotePrefix="0" xfId="0">
      <alignment horizontal="center" vertical="center" wrapText="1"/>
      <protection locked="0" hidden="0"/>
    </xf>
    <xf numFmtId="0" fontId="4" fillId="0" borderId="33" applyAlignment="1" applyProtection="1" pivotButton="0" quotePrefix="0" xfId="0">
      <alignment horizontal="center" vertical="center" wrapText="1"/>
      <protection locked="0" hidden="0"/>
    </xf>
    <xf numFmtId="0" fontId="4" fillId="0" borderId="58" applyAlignment="1" applyProtection="1" pivotButton="0" quotePrefix="0" xfId="0">
      <alignment horizontal="center" vertical="center" wrapText="1"/>
      <protection locked="0" hidden="0"/>
    </xf>
    <xf numFmtId="0" fontId="4" fillId="0" borderId="59" applyAlignment="1" applyProtection="1" pivotButton="0" quotePrefix="0" xfId="0">
      <alignment horizontal="center" vertical="center" wrapText="1"/>
      <protection locked="0" hidden="0"/>
    </xf>
    <xf numFmtId="0" fontId="4" fillId="0" borderId="62" applyAlignment="1" applyProtection="1" pivotButton="0" quotePrefix="0" xfId="0">
      <alignment horizontal="center" vertical="center" wrapText="1"/>
      <protection locked="0" hidden="0"/>
    </xf>
    <xf numFmtId="0" fontId="19" fillId="0" borderId="1" applyAlignment="1" applyProtection="1" pivotButton="0" quotePrefix="0" xfId="0">
      <alignment horizontal="left" vertical="center" wrapText="1" indent="3"/>
      <protection locked="0" hidden="0"/>
    </xf>
    <xf numFmtId="0" fontId="19" fillId="0" borderId="2" applyAlignment="1" applyProtection="1" pivotButton="0" quotePrefix="0" xfId="0">
      <alignment horizontal="left" vertical="center" wrapText="1" indent="3"/>
      <protection locked="0" hidden="0"/>
    </xf>
    <xf numFmtId="0" fontId="19" fillId="0" borderId="3" applyAlignment="1" applyProtection="1" pivotButton="0" quotePrefix="0" xfId="0">
      <alignment horizontal="left" vertical="center" wrapText="1" indent="3"/>
      <protection locked="0" hidden="0"/>
    </xf>
    <xf numFmtId="0" fontId="4" fillId="0" borderId="7" applyAlignment="1" applyProtection="1" pivotButton="0" quotePrefix="0" xfId="0">
      <alignment horizontal="center" vertical="center" wrapText="1"/>
      <protection locked="0" hidden="0"/>
    </xf>
    <xf numFmtId="0" fontId="4" fillId="0" borderId="8" applyAlignment="1" applyProtection="1" pivotButton="0" quotePrefix="0" xfId="0">
      <alignment horizontal="center" vertical="center" wrapText="1"/>
      <protection locked="0" hidden="0"/>
    </xf>
    <xf numFmtId="0" fontId="4" fillId="0" borderId="9" applyAlignment="1" applyProtection="1" pivotButton="0" quotePrefix="0" xfId="0">
      <alignment horizontal="center" vertical="center" wrapText="1"/>
      <protection locked="0" hidden="0"/>
    </xf>
    <xf numFmtId="0" fontId="4" fillId="0" borderId="7" applyAlignment="1" applyProtection="1" pivotButton="0" quotePrefix="0" xfId="0">
      <alignment vertical="center" wrapText="1"/>
      <protection locked="0" hidden="0"/>
    </xf>
    <xf numFmtId="0" fontId="4" fillId="0" borderId="8" applyAlignment="1" applyProtection="1" pivotButton="0" quotePrefix="0" xfId="0">
      <alignment vertical="center" wrapText="1"/>
      <protection locked="0" hidden="0"/>
    </xf>
    <xf numFmtId="0" fontId="4" fillId="0" borderId="9" applyAlignment="1" applyProtection="1" pivotButton="0" quotePrefix="0" xfId="0">
      <alignment vertical="center" wrapText="1"/>
      <protection locked="0" hidden="0"/>
    </xf>
    <xf numFmtId="0" fontId="4" fillId="0" borderId="15" applyAlignment="1" applyProtection="1" pivotButton="0" quotePrefix="0" xfId="0">
      <alignment vertical="center" wrapText="1"/>
      <protection locked="0" hidden="0"/>
    </xf>
    <xf numFmtId="0" fontId="4" fillId="0" borderId="16" applyAlignment="1" applyProtection="1" pivotButton="0" quotePrefix="0" xfId="0">
      <alignment vertical="center" wrapText="1"/>
      <protection locked="0" hidden="0"/>
    </xf>
    <xf numFmtId="0" fontId="4" fillId="0" borderId="17" applyAlignment="1" applyProtection="1" pivotButton="0" quotePrefix="0" xfId="0">
      <alignment vertical="center" wrapText="1"/>
      <protection locked="0" hidden="0"/>
    </xf>
    <xf numFmtId="0" fontId="4" fillId="0" borderId="15" applyAlignment="1" applyProtection="1" pivotButton="0" quotePrefix="0" xfId="0">
      <alignment horizontal="center" vertical="center" wrapText="1"/>
      <protection locked="0" hidden="0"/>
    </xf>
    <xf numFmtId="0" fontId="4" fillId="0" borderId="16" applyAlignment="1" applyProtection="1" pivotButton="0" quotePrefix="0" xfId="0">
      <alignment horizontal="center" vertical="center" wrapText="1"/>
      <protection locked="0" hidden="0"/>
    </xf>
    <xf numFmtId="0" fontId="4" fillId="0" borderId="17" applyAlignment="1" applyProtection="1" pivotButton="0" quotePrefix="0" xfId="0">
      <alignment horizontal="center" vertical="center" wrapText="1"/>
      <protection locked="0" hidden="0"/>
    </xf>
    <xf numFmtId="0" fontId="9" fillId="2" borderId="10" applyAlignment="1" applyProtection="1" pivotButton="0" quotePrefix="0" xfId="0">
      <alignment horizontal="center" vertical="center" wrapText="1"/>
      <protection locked="0" hidden="0"/>
    </xf>
    <xf numFmtId="0" fontId="9" fillId="2" borderId="18" applyAlignment="1" applyProtection="1" pivotButton="0" quotePrefix="0" xfId="0">
      <alignment horizontal="center" vertical="center" wrapText="1"/>
      <protection locked="0" hidden="0"/>
    </xf>
    <xf numFmtId="0" fontId="9" fillId="2" borderId="11" applyAlignment="1" applyProtection="1" pivotButton="0" quotePrefix="0" xfId="0">
      <alignment horizontal="center" vertical="center" wrapText="1"/>
      <protection locked="0" hidden="0"/>
    </xf>
    <xf numFmtId="0" fontId="5" fillId="0" borderId="25" applyAlignment="1" applyProtection="1" pivotButton="0" quotePrefix="0" xfId="0">
      <alignment horizontal="left" vertical="center" wrapText="1" indent="1"/>
      <protection locked="0" hidden="0"/>
    </xf>
    <xf numFmtId="0" fontId="5" fillId="0" borderId="23" applyAlignment="1" applyProtection="1" pivotButton="0" quotePrefix="0" xfId="0">
      <alignment horizontal="left" vertical="center" wrapText="1" indent="1"/>
      <protection locked="0" hidden="0"/>
    </xf>
    <xf numFmtId="0" fontId="5" fillId="0" borderId="26" applyAlignment="1" applyProtection="1" pivotButton="0" quotePrefix="0" xfId="0">
      <alignment horizontal="left" vertical="center" wrapText="1" indent="1"/>
      <protection locked="0" hidden="0"/>
    </xf>
    <xf numFmtId="0" fontId="4" fillId="0" borderId="44" applyAlignment="1" applyProtection="1" pivotButton="0" quotePrefix="0" xfId="0">
      <alignment horizontal="left" vertical="center" wrapText="1"/>
      <protection locked="0" hidden="0"/>
    </xf>
    <xf numFmtId="0" fontId="4" fillId="0" borderId="53" applyAlignment="1" applyProtection="1" pivotButton="0" quotePrefix="0" xfId="0">
      <alignment horizontal="left" vertical="center" wrapText="1"/>
      <protection locked="0" hidden="0"/>
    </xf>
    <xf numFmtId="0" fontId="19" fillId="0" borderId="70" applyAlignment="1" applyProtection="1" pivotButton="0" quotePrefix="0" xfId="0">
      <alignment horizontal="center" vertical="center" wrapText="1"/>
      <protection locked="0" hidden="0"/>
    </xf>
    <xf numFmtId="0" fontId="19" fillId="0" borderId="71" applyAlignment="1" applyProtection="1" pivotButton="0" quotePrefix="0" xfId="0">
      <alignment horizontal="center" vertical="center" wrapText="1"/>
      <protection locked="0" hidden="0"/>
    </xf>
    <xf numFmtId="0" fontId="19" fillId="0" borderId="72" applyAlignment="1" applyProtection="1" pivotButton="0" quotePrefix="0" xfId="0">
      <alignment horizontal="center" vertical="center" wrapText="1"/>
      <protection locked="0" hidden="0"/>
    </xf>
    <xf numFmtId="0" fontId="19" fillId="0" borderId="73" applyAlignment="1" applyProtection="1" pivotButton="0" quotePrefix="0" xfId="0">
      <alignment horizontal="center" vertical="center" wrapText="1"/>
      <protection locked="0" hidden="0"/>
    </xf>
    <xf numFmtId="0" fontId="19" fillId="0" borderId="53" applyAlignment="1" applyProtection="1" pivotButton="0" quotePrefix="0" xfId="0">
      <alignment horizontal="center" vertical="center" wrapText="1"/>
      <protection locked="0" hidden="0"/>
    </xf>
    <xf numFmtId="0" fontId="19" fillId="0" borderId="74" applyAlignment="1" applyProtection="1" pivotButton="0" quotePrefix="0" xfId="0">
      <alignment horizontal="center" vertical="center" wrapText="1"/>
      <protection locked="0" hidden="0"/>
    </xf>
    <xf numFmtId="0" fontId="19" fillId="0" borderId="45" applyAlignment="1" applyProtection="1" pivotButton="0" quotePrefix="0" xfId="0">
      <alignment horizontal="center" vertical="center" wrapText="1"/>
      <protection locked="0" hidden="0"/>
    </xf>
    <xf numFmtId="0" fontId="19" fillId="0" borderId="46" applyAlignment="1" applyProtection="1" pivotButton="0" quotePrefix="0" xfId="0">
      <alignment horizontal="center" vertical="center" wrapText="1"/>
      <protection locked="0" hidden="0"/>
    </xf>
    <xf numFmtId="0" fontId="19" fillId="0" borderId="47" applyAlignment="1" applyProtection="1" pivotButton="0" quotePrefix="0" xfId="0">
      <alignment horizontal="center" vertical="center" wrapText="1"/>
      <protection locked="0" hidden="0"/>
    </xf>
    <xf numFmtId="0" fontId="4" fillId="0" borderId="25" applyAlignment="1" applyProtection="1" pivotButton="0" quotePrefix="0" xfId="0">
      <alignment horizontal="center" vertical="center" wrapText="1"/>
      <protection locked="0" hidden="0"/>
    </xf>
    <xf numFmtId="0" fontId="4" fillId="0" borderId="23" applyAlignment="1" applyProtection="1" pivotButton="0" quotePrefix="0" xfId="0">
      <alignment horizontal="center" vertical="center" wrapText="1"/>
      <protection locked="0" hidden="0"/>
    </xf>
    <xf numFmtId="0" fontId="4" fillId="0" borderId="26" applyAlignment="1" applyProtection="1" pivotButton="0" quotePrefix="0" xfId="0">
      <alignment horizontal="center" vertical="center" wrapText="1"/>
      <protection locked="0" hidden="0"/>
    </xf>
    <xf numFmtId="164" fontId="4" fillId="0" borderId="7" applyAlignment="1" pivotButton="0" quotePrefix="0" xfId="0">
      <alignment vertical="center" wrapText="1"/>
    </xf>
    <xf numFmtId="164" fontId="4" fillId="0" borderId="8" applyAlignment="1" pivotButton="0" quotePrefix="0" xfId="0">
      <alignment vertical="center" wrapText="1"/>
    </xf>
    <xf numFmtId="164" fontId="4" fillId="0" borderId="9" applyAlignment="1" pivotButton="0" quotePrefix="0" xfId="0">
      <alignment vertical="center" wrapText="1"/>
    </xf>
    <xf numFmtId="164" fontId="4" fillId="0" borderId="7" applyAlignment="1" pivotButton="0" quotePrefix="0" xfId="0">
      <alignment horizontal="center" vertical="center" wrapText="1"/>
    </xf>
    <xf numFmtId="164" fontId="4" fillId="0" borderId="8" applyAlignment="1" pivotButton="0" quotePrefix="0" xfId="0">
      <alignment horizontal="center" vertical="center" wrapText="1"/>
    </xf>
    <xf numFmtId="164" fontId="4" fillId="0" borderId="9" applyAlignment="1" pivotButton="0" quotePrefix="0" xfId="0">
      <alignment horizontal="center" vertical="center" wrapText="1"/>
    </xf>
    <xf numFmtId="164" fontId="4" fillId="0" borderId="7" applyAlignment="1" applyProtection="1" pivotButton="0" quotePrefix="0" xfId="0">
      <alignment horizontal="center" vertical="center" wrapText="1"/>
      <protection locked="0" hidden="0"/>
    </xf>
    <xf numFmtId="164" fontId="4" fillId="0" borderId="8" applyAlignment="1" applyProtection="1" pivotButton="0" quotePrefix="0" xfId="0">
      <alignment horizontal="center" vertical="center" wrapText="1"/>
      <protection locked="0" hidden="0"/>
    </xf>
    <xf numFmtId="164" fontId="4" fillId="0" borderId="9" applyAlignment="1" applyProtection="1" pivotButton="0" quotePrefix="0" xfId="0">
      <alignment horizontal="center" vertical="center" wrapText="1"/>
      <protection locked="0" hidden="0"/>
    </xf>
    <xf numFmtId="0" fontId="9" fillId="2" borderId="25" applyAlignment="1" applyProtection="1" pivotButton="0" quotePrefix="0" xfId="0">
      <alignment horizontal="center" vertical="center" wrapText="1"/>
      <protection locked="0" hidden="0"/>
    </xf>
    <xf numFmtId="0" fontId="9" fillId="2" borderId="23" applyAlignment="1" applyProtection="1" pivotButton="0" quotePrefix="0" xfId="0">
      <alignment horizontal="center" vertical="center" wrapText="1"/>
      <protection locked="0" hidden="0"/>
    </xf>
    <xf numFmtId="0" fontId="9" fillId="2" borderId="26" applyAlignment="1" applyProtection="1" pivotButton="0" quotePrefix="0" xfId="0">
      <alignment horizontal="center" vertical="center" wrapText="1"/>
      <protection locked="0" hidden="0"/>
    </xf>
    <xf numFmtId="0" fontId="19" fillId="0" borderId="7" applyAlignment="1" pivotButton="0" quotePrefix="0" xfId="0">
      <alignment horizontal="left" vertical="center" wrapText="1" indent="3"/>
    </xf>
    <xf numFmtId="0" fontId="19" fillId="0" borderId="7" applyAlignment="1" pivotButton="0" quotePrefix="0" xfId="0">
      <alignment horizontal="left" vertical="center" indent="3"/>
    </xf>
    <xf numFmtId="0" fontId="19" fillId="0" borderId="8" applyAlignment="1" pivotButton="0" quotePrefix="0" xfId="0">
      <alignment horizontal="left" vertical="center" indent="3"/>
    </xf>
    <xf numFmtId="0" fontId="19" fillId="0" borderId="9" applyAlignment="1" pivotButton="0" quotePrefix="0" xfId="0">
      <alignment horizontal="left" vertical="center" indent="3"/>
    </xf>
    <xf numFmtId="0" fontId="19" fillId="0" borderId="15" applyAlignment="1" applyProtection="1" pivotButton="0" quotePrefix="0" xfId="0">
      <alignment horizontal="left" vertical="center" wrapText="1" indent="3"/>
      <protection locked="0" hidden="0"/>
    </xf>
    <xf numFmtId="0" fontId="19" fillId="0" borderId="16" applyAlignment="1" applyProtection="1" pivotButton="0" quotePrefix="0" xfId="0">
      <alignment horizontal="left" vertical="center" wrapText="1" indent="3"/>
      <protection locked="0" hidden="0"/>
    </xf>
    <xf numFmtId="0" fontId="19" fillId="0" borderId="17" applyAlignment="1" applyProtection="1" pivotButton="0" quotePrefix="0" xfId="0">
      <alignment horizontal="left" vertical="center" wrapText="1" indent="3"/>
      <protection locked="0" hidden="0"/>
    </xf>
    <xf numFmtId="0" fontId="5" fillId="0" borderId="21" applyAlignment="1" applyProtection="1" pivotButton="0" quotePrefix="0" xfId="0">
      <alignment horizontal="left" vertical="center" wrapText="1" indent="1"/>
      <protection locked="0" hidden="0"/>
    </xf>
    <xf numFmtId="0" fontId="5" fillId="0" borderId="22" applyAlignment="1" applyProtection="1" pivotButton="0" quotePrefix="0" xfId="0">
      <alignment horizontal="left" vertical="center" wrapText="1" indent="1"/>
      <protection locked="0" hidden="0"/>
    </xf>
    <xf numFmtId="0" fontId="5" fillId="0" borderId="24" applyAlignment="1" applyProtection="1" pivotButton="0" quotePrefix="0" xfId="0">
      <alignment horizontal="left" vertical="center" wrapText="1" indent="1"/>
      <protection locked="0" hidden="0"/>
    </xf>
    <xf numFmtId="0" fontId="5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22" applyAlignment="1" applyProtection="1" pivotButton="0" quotePrefix="0" xfId="0">
      <alignment horizontal="center" vertical="center" wrapText="1"/>
      <protection locked="0" hidden="0"/>
    </xf>
    <xf numFmtId="0" fontId="5" fillId="0" borderId="24" applyAlignment="1" applyProtection="1" pivotButton="0" quotePrefix="0" xfId="0">
      <alignment horizontal="center" vertical="center" wrapText="1"/>
      <protection locked="0" hidden="0"/>
    </xf>
    <xf numFmtId="0" fontId="8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18" applyAlignment="1" applyProtection="1" pivotButton="0" quotePrefix="0" xfId="0">
      <alignment horizontal="center" vertical="center" wrapText="1"/>
      <protection locked="0" hidden="0"/>
    </xf>
    <xf numFmtId="0" fontId="8" fillId="0" borderId="5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5" fillId="0" borderId="5" applyAlignment="1" applyProtection="1" pivotButton="0" quotePrefix="0" xfId="0">
      <alignment horizontal="center" vertical="center" wrapText="1"/>
      <protection locked="0" hidden="0"/>
    </xf>
    <xf numFmtId="0" fontId="5" fillId="0" borderId="6" applyAlignment="1" applyProtection="1" pivotButton="0" quotePrefix="0" xfId="0">
      <alignment horizontal="center" vertical="center" wrapText="1"/>
      <protection locked="0" hidden="0"/>
    </xf>
    <xf numFmtId="0" fontId="19" fillId="0" borderId="57" applyAlignment="1" applyProtection="1" pivotButton="0" quotePrefix="0" xfId="0">
      <alignment horizontal="center" vertical="center" wrapText="1"/>
      <protection locked="0" hidden="0"/>
    </xf>
    <xf numFmtId="0" fontId="19" fillId="0" borderId="64" applyAlignment="1" applyProtection="1" pivotButton="0" quotePrefix="0" xfId="0">
      <alignment horizontal="center" vertical="center" wrapText="1"/>
      <protection locked="0" hidden="0"/>
    </xf>
    <xf numFmtId="0" fontId="19" fillId="0" borderId="56" applyAlignment="1" applyProtection="1" pivotButton="0" quotePrefix="0" xfId="0">
      <alignment horizontal="center" vertical="center" wrapText="1"/>
      <protection locked="0" hidden="0"/>
    </xf>
    <xf numFmtId="0" fontId="19" fillId="0" borderId="55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19" fillId="0" borderId="58" applyAlignment="1" applyProtection="1" pivotButton="0" quotePrefix="0" xfId="0">
      <alignment horizontal="center" vertical="center" wrapText="1"/>
      <protection locked="0" hidden="0"/>
    </xf>
    <xf numFmtId="0" fontId="19" fillId="0" borderId="59" applyAlignment="1" applyProtection="1" pivotButton="0" quotePrefix="0" xfId="0">
      <alignment horizontal="center" vertical="center" wrapText="1"/>
      <protection locked="0" hidden="0"/>
    </xf>
    <xf numFmtId="0" fontId="19" fillId="0" borderId="62" applyAlignment="1" applyProtection="1" pivotButton="0" quotePrefix="0" xfId="0">
      <alignment horizontal="center" vertical="center" wrapText="1"/>
      <protection locked="0" hidden="0"/>
    </xf>
    <xf numFmtId="0" fontId="19" fillId="0" borderId="65" applyAlignment="1" applyProtection="1" pivotButton="0" quotePrefix="0" xfId="0">
      <alignment horizontal="center" vertical="center" wrapText="1"/>
      <protection locked="0" hidden="0"/>
    </xf>
    <xf numFmtId="0" fontId="5" fillId="0" borderId="10" applyAlignment="1" applyProtection="1" pivotButton="0" quotePrefix="0" xfId="0">
      <alignment horizontal="left" vertical="center" wrapText="1"/>
      <protection locked="0" hidden="0"/>
    </xf>
    <xf numFmtId="0" fontId="5" fillId="0" borderId="18" applyAlignment="1" applyProtection="1" pivotButton="0" quotePrefix="0" xfId="0">
      <alignment horizontal="left" vertical="center" wrapText="1"/>
      <protection locked="0" hidden="0"/>
    </xf>
    <xf numFmtId="0" fontId="5" fillId="0" borderId="11" applyAlignment="1" applyProtection="1" pivotButton="0" quotePrefix="0" xfId="0">
      <alignment horizontal="left" vertical="center" wrapText="1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4" fillId="0" borderId="79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80" applyAlignment="1" pivotButton="0" quotePrefix="0" xfId="0">
      <alignment horizontal="center" vertical="center" wrapText="1"/>
    </xf>
    <xf numFmtId="0" fontId="19" fillId="0" borderId="63" applyAlignment="1" applyProtection="1" pivotButton="0" quotePrefix="0" xfId="0">
      <alignment horizontal="center" vertical="center" wrapText="1"/>
      <protection locked="0" hidden="0"/>
    </xf>
    <xf numFmtId="0" fontId="12" fillId="0" borderId="44" applyAlignment="1" applyProtection="1" pivotButton="0" quotePrefix="0" xfId="0">
      <alignment horizontal="left" vertical="center" wrapText="1"/>
      <protection locked="0" hidden="0"/>
    </xf>
    <xf numFmtId="0" fontId="19" fillId="0" borderId="7" applyAlignment="1" pivotButton="0" quotePrefix="0" xfId="0">
      <alignment horizontal="left" vertical="center" wrapText="1" indent="2"/>
    </xf>
    <xf numFmtId="0" fontId="19" fillId="0" borderId="8" applyAlignment="1" pivotButton="0" quotePrefix="0" xfId="0">
      <alignment horizontal="left" vertical="center" wrapText="1" indent="2"/>
    </xf>
    <xf numFmtId="0" fontId="19" fillId="0" borderId="9" applyAlignment="1" pivotButton="0" quotePrefix="0" xfId="0">
      <alignment horizontal="left" vertical="center" wrapText="1" indent="2"/>
    </xf>
    <xf numFmtId="0" fontId="11" fillId="0" borderId="7" applyAlignment="1" pivotButton="0" quotePrefix="0" xfId="0">
      <alignment horizontal="center"/>
    </xf>
    <xf numFmtId="0" fontId="11" fillId="0" borderId="8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0" fontId="19" fillId="0" borderId="61" applyAlignment="1" applyProtection="1" pivotButton="0" quotePrefix="0" xfId="0">
      <alignment horizontal="center" vertical="center" wrapText="1"/>
      <protection locked="0" hidden="0"/>
    </xf>
    <xf numFmtId="0" fontId="4" fillId="0" borderId="53" applyAlignment="1" applyProtection="1" pivotButton="0" quotePrefix="0" xfId="0">
      <alignment horizontal="center" vertical="center" wrapText="1"/>
      <protection locked="0" hidden="0"/>
    </xf>
    <xf numFmtId="0" fontId="8" fillId="2" borderId="10" applyAlignment="1" applyProtection="1" pivotButton="0" quotePrefix="0" xfId="0">
      <alignment horizontal="center" vertical="center" wrapText="1"/>
      <protection locked="0" hidden="0"/>
    </xf>
    <xf numFmtId="0" fontId="8" fillId="2" borderId="18" applyAlignment="1" applyProtection="1" pivotButton="0" quotePrefix="0" xfId="0">
      <alignment horizontal="center" vertical="center" wrapText="1"/>
      <protection locked="0" hidden="0"/>
    </xf>
    <xf numFmtId="0" fontId="8" fillId="2" borderId="11" applyAlignment="1" applyProtection="1" pivotButton="0" quotePrefix="0" xfId="0">
      <alignment horizontal="center" vertical="center" wrapText="1"/>
      <protection locked="0" hidden="0"/>
    </xf>
    <xf numFmtId="0" fontId="19" fillId="0" borderId="7" applyAlignment="1" pivotButton="0" quotePrefix="0" xfId="0">
      <alignment horizontal="left" vertical="center" indent="2"/>
    </xf>
    <xf numFmtId="0" fontId="19" fillId="0" borderId="8" applyAlignment="1" pivotButton="0" quotePrefix="0" xfId="0">
      <alignment horizontal="left" vertical="center" indent="2"/>
    </xf>
    <xf numFmtId="0" fontId="19" fillId="0" borderId="9" applyAlignment="1" pivotButton="0" quotePrefix="0" xfId="0">
      <alignment horizontal="left" vertical="center" indent="2"/>
    </xf>
    <xf numFmtId="0" fontId="0" fillId="0" borderId="87" applyAlignment="1" pivotButton="0" quotePrefix="0" xfId="0">
      <alignment horizontal="center"/>
    </xf>
    <xf numFmtId="0" fontId="0" fillId="0" borderId="8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31" fillId="0" borderId="88" applyAlignment="1" pivotButton="0" quotePrefix="0" xfId="0">
      <alignment horizontal="center" vertical="center"/>
    </xf>
    <xf numFmtId="0" fontId="31" fillId="0" borderId="89" applyAlignment="1" pivotButton="0" quotePrefix="0" xfId="0">
      <alignment horizontal="center" vertical="center"/>
    </xf>
    <xf numFmtId="0" fontId="31" fillId="0" borderId="31" applyAlignment="1" pivotButton="0" quotePrefix="0" xfId="0">
      <alignment horizontal="center" vertical="center"/>
    </xf>
    <xf numFmtId="0" fontId="31" fillId="0" borderId="33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/>
    </xf>
    <xf numFmtId="0" fontId="29" fillId="0" borderId="31" applyAlignment="1" pivotButton="0" quotePrefix="0" xfId="0">
      <alignment horizontal="center"/>
    </xf>
    <xf numFmtId="0" fontId="29" fillId="0" borderId="33" applyAlignment="1" pivotButton="0" quotePrefix="0" xfId="0">
      <alignment horizontal="center"/>
    </xf>
    <xf numFmtId="0" fontId="30" fillId="7" borderId="32" applyAlignment="1" pivotButton="0" quotePrefix="0" xfId="0">
      <alignment horizontal="left" vertical="center" wrapText="1"/>
    </xf>
    <xf numFmtId="0" fontId="26" fillId="7" borderId="31" applyAlignment="1" pivotButton="0" quotePrefix="0" xfId="0">
      <alignment horizontal="left" vertical="center" wrapText="1"/>
    </xf>
    <xf numFmtId="0" fontId="26" fillId="7" borderId="32" applyAlignment="1" pivotButton="0" quotePrefix="0" xfId="0">
      <alignment horizontal="left" vertical="center" wrapText="1"/>
    </xf>
    <xf numFmtId="0" fontId="0" fillId="6" borderId="31" applyAlignment="1" pivotButton="0" quotePrefix="0" xfId="0">
      <alignment horizontal="center" vertical="center"/>
    </xf>
    <xf numFmtId="0" fontId="30" fillId="7" borderId="31" applyAlignment="1" pivotButton="0" quotePrefix="0" xfId="0">
      <alignment horizontal="left" vertical="center"/>
    </xf>
    <xf numFmtId="0" fontId="26" fillId="7" borderId="31" applyAlignment="1" pivotButton="0" quotePrefix="0" xfId="0">
      <alignment horizontal="left" vertical="center"/>
    </xf>
    <xf numFmtId="14" fontId="0" fillId="6" borderId="31" applyAlignment="1" pivotButton="0" quotePrefix="0" xfId="0">
      <alignment horizontal="center" vertical="center"/>
    </xf>
    <xf numFmtId="0" fontId="0" fillId="6" borderId="33" applyAlignment="1" pivotButton="0" quotePrefix="0" xfId="0">
      <alignment horizontal="center" vertical="center"/>
    </xf>
    <xf numFmtId="0" fontId="27" fillId="7" borderId="32" applyAlignment="1" pivotButton="0" quotePrefix="0" xfId="0">
      <alignment horizontal="center" vertical="center"/>
    </xf>
    <xf numFmtId="0" fontId="27" fillId="7" borderId="31" applyAlignment="1" pivotButton="0" quotePrefix="0" xfId="0">
      <alignment horizontal="center" vertical="center"/>
    </xf>
    <xf numFmtId="0" fontId="27" fillId="7" borderId="33" applyAlignment="1" pivotButton="0" quotePrefix="0" xfId="0">
      <alignment horizontal="center" vertical="center"/>
    </xf>
    <xf numFmtId="0" fontId="0" fillId="6" borderId="31" applyAlignment="1" pivotButton="0" quotePrefix="0" xfId="0">
      <alignment horizontal="left" vertical="center" indent="1"/>
    </xf>
    <xf numFmtId="0" fontId="29" fillId="6" borderId="31" applyAlignment="1" pivotButton="0" quotePrefix="0" xfId="0">
      <alignment horizontal="left" vertical="center" indent="1"/>
    </xf>
    <xf numFmtId="0" fontId="29" fillId="6" borderId="33" applyAlignment="1" pivotButton="0" quotePrefix="0" xfId="0">
      <alignment horizontal="left" vertical="center" indent="1"/>
    </xf>
    <xf numFmtId="0" fontId="28" fillId="0" borderId="32" applyAlignment="1" pivotButton="0" quotePrefix="0" xfId="0">
      <alignment horizontal="left"/>
    </xf>
    <xf numFmtId="0" fontId="29" fillId="0" borderId="31" applyAlignment="1" pivotButton="0" quotePrefix="0" xfId="0">
      <alignment horizontal="left"/>
    </xf>
    <xf numFmtId="0" fontId="29" fillId="0" borderId="33" applyAlignment="1" pivotButton="0" quotePrefix="0" xfId="0">
      <alignment horizontal="left"/>
    </xf>
    <xf numFmtId="0" fontId="29" fillId="0" borderId="32" applyAlignment="1" pivotButton="0" quotePrefix="0" xfId="0">
      <alignment horizontal="left"/>
    </xf>
    <xf numFmtId="0" fontId="0" fillId="0" borderId="32" applyAlignment="1" pivotButton="0" quotePrefix="0" xfId="0">
      <alignment horizontal="center" vertical="center"/>
    </xf>
    <xf numFmtId="0" fontId="0" fillId="0" borderId="90" applyAlignment="1" pivotButton="0" quotePrefix="0" xfId="0">
      <alignment horizontal="center" vertical="center"/>
    </xf>
    <xf numFmtId="0" fontId="14" fillId="0" borderId="31" applyAlignment="1" pivotButton="0" quotePrefix="0" xfId="0">
      <alignment vertical="center"/>
    </xf>
    <xf numFmtId="0" fontId="0" fillId="0" borderId="31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/>
    </xf>
    <xf numFmtId="0" fontId="0" fillId="0" borderId="31" applyAlignment="1" pivotButton="0" quotePrefix="0" xfId="0">
      <alignment vertical="center" wrapText="1"/>
    </xf>
    <xf numFmtId="0" fontId="23" fillId="0" borderId="31" applyAlignment="1" pivotButton="0" quotePrefix="0" xfId="0">
      <alignment vertical="center" wrapText="1"/>
    </xf>
    <xf numFmtId="0" fontId="23" fillId="0" borderId="31" applyAlignment="1" pivotButton="0" quotePrefix="0" xfId="0">
      <alignment horizontal="center" vertical="center" wrapText="1"/>
    </xf>
    <xf numFmtId="0" fontId="23" fillId="0" borderId="31" applyAlignment="1" pivotButton="0" quotePrefix="0" xfId="0">
      <alignment horizontal="center" vertical="center"/>
    </xf>
    <xf numFmtId="0" fontId="23" fillId="0" borderId="91" applyAlignment="1" pivotButton="0" quotePrefix="0" xfId="0">
      <alignment vertical="center" wrapText="1"/>
    </xf>
    <xf numFmtId="0" fontId="0" fillId="0" borderId="91" applyAlignment="1" pivotButton="0" quotePrefix="0" xfId="0">
      <alignment horizontal="center" vertical="center"/>
    </xf>
    <xf numFmtId="0" fontId="0" fillId="0" borderId="91" applyAlignment="1" pivotButton="0" quotePrefix="0" xfId="0">
      <alignment horizontal="center"/>
    </xf>
    <xf numFmtId="0" fontId="0" fillId="0" borderId="92" applyAlignment="1" pivotButton="0" quotePrefix="0" xfId="0">
      <alignment horizontal="center"/>
    </xf>
    <xf numFmtId="0" fontId="23" fillId="0" borderId="31" applyAlignment="1" pivotButton="0" quotePrefix="0" xfId="0">
      <alignment vertical="center"/>
    </xf>
    <xf numFmtId="0" fontId="24" fillId="7" borderId="54" applyAlignment="1" pivotButton="0" quotePrefix="0" xfId="0">
      <alignment horizontal="center" vertical="center"/>
    </xf>
    <xf numFmtId="0" fontId="24" fillId="7" borderId="53" applyAlignment="1" pivotButton="0" quotePrefix="0" xfId="0">
      <alignment horizontal="center" vertical="center"/>
    </xf>
    <xf numFmtId="0" fontId="24" fillId="7" borderId="55" applyAlignment="1" pivotButton="0" quotePrefix="0" xfId="0">
      <alignment horizontal="center" vertical="center"/>
    </xf>
    <xf numFmtId="0" fontId="24" fillId="7" borderId="60" applyAlignment="1" pivotButton="0" quotePrefix="0" xfId="0">
      <alignment horizontal="center" vertical="center"/>
    </xf>
    <xf numFmtId="0" fontId="24" fillId="7" borderId="84" applyAlignment="1" pivotButton="0" quotePrefix="0" xfId="0">
      <alignment horizontal="center" vertical="center"/>
    </xf>
    <xf numFmtId="0" fontId="31" fillId="0" borderId="31" applyAlignment="1" pivotButton="0" quotePrefix="0" xfId="0">
      <alignment horizontal="center" vertical="center" wrapText="1"/>
    </xf>
    <xf numFmtId="0" fontId="26" fillId="7" borderId="64" applyAlignment="1" pivotButton="0" quotePrefix="0" xfId="0">
      <alignment vertical="center"/>
    </xf>
    <xf numFmtId="0" fontId="0" fillId="6" borderId="64" applyAlignment="1" pivotButton="0" quotePrefix="0" xfId="0">
      <alignment horizontal="center" vertical="center"/>
    </xf>
    <xf numFmtId="0" fontId="26" fillId="7" borderId="64" applyAlignment="1" pivotButton="0" quotePrefix="0" xfId="0">
      <alignment horizontal="left" vertical="center"/>
    </xf>
    <xf numFmtId="0" fontId="0" fillId="6" borderId="56" applyAlignment="1" pivotButton="0" quotePrefix="0" xfId="0">
      <alignment horizontal="center" vertical="center"/>
    </xf>
    <xf numFmtId="0" fontId="0" fillId="6" borderId="57" applyAlignment="1" pivotButton="0" quotePrefix="0" xfId="0">
      <alignment horizontal="center" vertical="center"/>
    </xf>
    <xf numFmtId="0" fontId="14" fillId="0" borderId="31" applyAlignment="1" pivotButton="0" quotePrefix="0" xfId="0">
      <alignment horizontal="left"/>
    </xf>
    <xf numFmtId="0" fontId="0" fillId="0" borderId="86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25" fillId="0" borderId="31" applyAlignment="1" pivotButton="0" quotePrefix="0" xfId="0">
      <alignment horizontal="left" vertical="center"/>
    </xf>
    <xf numFmtId="0" fontId="0" fillId="0" borderId="31" applyAlignment="1" pivotButton="0" quotePrefix="0" xfId="0">
      <alignment vertical="center"/>
    </xf>
    <xf numFmtId="0" fontId="25" fillId="0" borderId="31" applyAlignment="1" pivotButton="0" quotePrefix="0" xfId="0">
      <alignment vertical="center"/>
    </xf>
    <xf numFmtId="0" fontId="0" fillId="0" borderId="54" applyAlignment="1" pivotButton="0" quotePrefix="0" xfId="0">
      <alignment horizontal="left" vertical="center"/>
    </xf>
    <xf numFmtId="0" fontId="0" fillId="0" borderId="53" applyAlignment="1" pivotButton="0" quotePrefix="0" xfId="0">
      <alignment horizontal="left" vertical="center"/>
    </xf>
    <xf numFmtId="0" fontId="0" fillId="0" borderId="55" applyAlignment="1" pivotButton="0" quotePrefix="0" xfId="0">
      <alignment horizontal="left" vertical="center"/>
    </xf>
    <xf numFmtId="0" fontId="25" fillId="0" borderId="31" pivotButton="0" quotePrefix="0" xfId="0"/>
    <xf numFmtId="0" fontId="0" fillId="0" borderId="31" applyAlignment="1" pivotButton="0" quotePrefix="0" xfId="0">
      <alignment horizontal="center" vertical="top"/>
    </xf>
    <xf numFmtId="0" fontId="0" fillId="0" borderId="59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4" applyAlignment="1" pivotButton="0" quotePrefix="0" xfId="0">
      <alignment horizontal="left"/>
    </xf>
    <xf numFmtId="0" fontId="0" fillId="0" borderId="53" applyAlignment="1" pivotButton="0" quotePrefix="0" xfId="0">
      <alignment horizontal="left"/>
    </xf>
    <xf numFmtId="0" fontId="0" fillId="0" borderId="55" applyAlignment="1" pivotButton="0" quotePrefix="0" xfId="0">
      <alignment horizontal="left"/>
    </xf>
    <xf numFmtId="0" fontId="24" fillId="7" borderId="31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/>
    </xf>
    <xf numFmtId="0" fontId="14" fillId="0" borderId="30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 wrapText="1"/>
    </xf>
    <xf numFmtId="0" fontId="8" fillId="0" borderId="3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49" fontId="0" fillId="8" borderId="7" applyAlignment="1" pivotButton="0" quotePrefix="0" xfId="0">
      <alignment horizontal="left" vertical="center" wrapText="1" indent="1"/>
    </xf>
    <xf numFmtId="49" fontId="19" fillId="8" borderId="8" applyAlignment="1" pivotButton="0" quotePrefix="0" xfId="0">
      <alignment horizontal="left" vertical="center" wrapText="1" indent="1"/>
    </xf>
    <xf numFmtId="49" fontId="19" fillId="8" borderId="9" applyAlignment="1" pivotButton="0" quotePrefix="0" xfId="0">
      <alignment horizontal="left" vertical="center" wrapText="1" indent="1"/>
    </xf>
    <xf numFmtId="0" fontId="0" fillId="8" borderId="7" applyAlignment="1" pivotButton="0" quotePrefix="0" xfId="0">
      <alignment horizontal="left" vertical="center" wrapText="1" indent="3"/>
    </xf>
    <xf numFmtId="0" fontId="10" fillId="8" borderId="8" applyAlignment="1" pivotButton="0" quotePrefix="0" xfId="0">
      <alignment horizontal="left" vertical="center" wrapText="1" indent="3"/>
    </xf>
    <xf numFmtId="0" fontId="10" fillId="8" borderId="2" applyAlignment="1" pivotButton="0" quotePrefix="0" xfId="0">
      <alignment horizontal="left" vertical="center" wrapText="1" indent="3"/>
    </xf>
    <xf numFmtId="0" fontId="10" fillId="8" borderId="3" applyAlignment="1" pivotButton="0" quotePrefix="0" xfId="0">
      <alignment horizontal="left" vertical="center" wrapText="1" indent="3"/>
    </xf>
    <xf numFmtId="0" fontId="0" fillId="8" borderId="7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left" vertical="center" wrapText="1" indent="1"/>
    </xf>
    <xf numFmtId="0" fontId="0" fillId="8" borderId="12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indent="1"/>
    </xf>
    <xf numFmtId="0" fontId="11" fillId="8" borderId="11" applyAlignment="1" pivotButton="0" quotePrefix="0" xfId="0">
      <alignment horizontal="left" indent="1"/>
    </xf>
    <xf numFmtId="0" fontId="0" fillId="8" borderId="10" applyAlignment="1" pivotButton="0" quotePrefix="0" xfId="0">
      <alignment horizontal="center"/>
    </xf>
    <xf numFmtId="0" fontId="20" fillId="8" borderId="11" applyAlignment="1" pivotButton="0" quotePrefix="0" xfId="0">
      <alignment horizontal="center"/>
    </xf>
    <xf numFmtId="0" fontId="19" fillId="8" borderId="8" applyAlignment="1" pivotButton="0" quotePrefix="0" xfId="0">
      <alignment horizontal="left" vertical="center" wrapText="1" indent="3"/>
    </xf>
    <xf numFmtId="0" fontId="19" fillId="8" borderId="5" applyAlignment="1" pivotButton="0" quotePrefix="0" xfId="0">
      <alignment horizontal="left" vertical="center" wrapText="1" indent="3"/>
    </xf>
    <xf numFmtId="0" fontId="19" fillId="8" borderId="6" applyAlignment="1" pivotButton="0" quotePrefix="0" xfId="0">
      <alignment horizontal="left" vertical="center" wrapText="1" indent="3"/>
    </xf>
    <xf numFmtId="0" fontId="19" fillId="8" borderId="9" applyAlignment="1" pivotButton="0" quotePrefix="0" xfId="0">
      <alignment horizontal="left" vertical="center" wrapText="1" indent="3"/>
    </xf>
    <xf numFmtId="0" fontId="4" fillId="8" borderId="7" applyAlignment="1" pivotButton="0" quotePrefix="0" xfId="0">
      <alignment horizontal="left" vertical="center" wrapText="1" indent="1"/>
    </xf>
    <xf numFmtId="0" fontId="4" fillId="8" borderId="8" applyAlignment="1" pivotButton="0" quotePrefix="0" xfId="0">
      <alignment horizontal="left" vertical="center" wrapText="1" indent="1"/>
    </xf>
    <xf numFmtId="0" fontId="4" fillId="8" borderId="9" applyAlignment="1" pivotButton="0" quotePrefix="0" xfId="0">
      <alignment horizontal="left" vertical="center" wrapText="1" indent="1"/>
    </xf>
    <xf numFmtId="0" fontId="4" fillId="8" borderId="15" applyAlignment="1" pivotButton="0" quotePrefix="0" xfId="0">
      <alignment horizontal="left" vertical="center" wrapText="1" indent="1"/>
    </xf>
    <xf numFmtId="0" fontId="4" fillId="8" borderId="16" applyAlignment="1" pivotButton="0" quotePrefix="0" xfId="0">
      <alignment horizontal="left" vertical="center" wrapText="1" indent="1"/>
    </xf>
    <xf numFmtId="0" fontId="4" fillId="8" borderId="17" applyAlignment="1" pivotButton="0" quotePrefix="0" xfId="0">
      <alignment horizontal="left" vertical="center" wrapText="1" indent="1"/>
    </xf>
    <xf numFmtId="0" fontId="4" fillId="9" borderId="7" applyAlignment="1" pivotButton="0" quotePrefix="0" xfId="0">
      <alignment horizontal="left" vertical="center" wrapText="1" indent="1"/>
    </xf>
    <xf numFmtId="0" fontId="4" fillId="9" borderId="8" applyAlignment="1" pivotButton="0" quotePrefix="0" xfId="0">
      <alignment horizontal="left" vertical="center" wrapText="1" indent="1"/>
    </xf>
    <xf numFmtId="0" fontId="4" fillId="9" borderId="9" applyAlignment="1" pivotButton="0" quotePrefix="0" xfId="0">
      <alignment horizontal="left" vertical="center" wrapText="1" indent="1"/>
    </xf>
    <xf numFmtId="14" fontId="0" fillId="9" borderId="7" applyAlignment="1" pivotButton="0" quotePrefix="0" xfId="0">
      <alignment horizontal="left" vertical="center" wrapText="1" indent="1"/>
    </xf>
    <xf numFmtId="14" fontId="19" fillId="9" borderId="8" applyAlignment="1" pivotButton="0" quotePrefix="0" xfId="0">
      <alignment horizontal="left" vertical="center" wrapText="1" indent="1"/>
    </xf>
    <xf numFmtId="14" fontId="19" fillId="9" borderId="9" applyAlignment="1" pivotButton="0" quotePrefix="0" xfId="0">
      <alignment horizontal="left" vertical="center" wrapText="1" indent="1"/>
    </xf>
    <xf numFmtId="0" fontId="4" fillId="8" borderId="4" applyAlignment="1" pivotButton="0" quotePrefix="0" xfId="0">
      <alignment horizontal="left" vertical="center" wrapText="1" indent="1"/>
    </xf>
    <xf numFmtId="0" fontId="4" fillId="8" borderId="5" applyAlignment="1" pivotButton="0" quotePrefix="0" xfId="0">
      <alignment horizontal="left" vertical="center" wrapText="1" indent="1"/>
    </xf>
    <xf numFmtId="0" fontId="0" fillId="8" borderId="12" applyAlignment="1" pivotButton="0" quotePrefix="0" xfId="0">
      <alignment horizontal="center" vertical="center" wrapText="1"/>
    </xf>
    <xf numFmtId="0" fontId="19" fillId="8" borderId="22" applyAlignment="1" pivotButton="0" quotePrefix="0" xfId="0">
      <alignment horizontal="center" vertical="center" wrapText="1"/>
    </xf>
    <xf numFmtId="0" fontId="19" fillId="8" borderId="13" applyAlignment="1" pivotButton="0" quotePrefix="0" xfId="0">
      <alignment horizontal="center" vertical="center" wrapText="1"/>
    </xf>
    <xf numFmtId="0" fontId="4" fillId="8" borderId="42" applyAlignment="1" pivotButton="0" quotePrefix="0" xfId="0">
      <alignment horizontal="left" vertical="center" wrapText="1" indent="1"/>
    </xf>
    <xf numFmtId="0" fontId="4" fillId="8" borderId="43" applyAlignment="1" pivotButton="0" quotePrefix="0" xfId="0">
      <alignment horizontal="left" vertical="center" wrapText="1" indent="1"/>
    </xf>
    <xf numFmtId="0" fontId="19" fillId="8" borderId="24" applyAlignment="1" pivotButton="0" quotePrefix="0" xfId="0">
      <alignment horizontal="center" vertical="center" wrapText="1"/>
    </xf>
    <xf numFmtId="0" fontId="4" fillId="8" borderId="34" applyAlignment="1" pivotButton="0" quotePrefix="0" xfId="0">
      <alignment horizontal="left" vertical="center" wrapText="1" indent="1"/>
    </xf>
    <xf numFmtId="0" fontId="4" fillId="8" borderId="35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2" applyAlignment="1" pivotButton="0" quotePrefix="0" xfId="0">
      <alignment horizontal="left" vertical="center" wrapText="1" indent="1"/>
    </xf>
    <xf numFmtId="0" fontId="4" fillId="8" borderId="36" applyAlignment="1" pivotButton="0" quotePrefix="0" xfId="0">
      <alignment horizontal="left" vertical="center" wrapText="1" indent="1"/>
    </xf>
    <xf numFmtId="0" fontId="4" fillId="8" borderId="37" applyAlignment="1" pivotButton="0" quotePrefix="0" xfId="0">
      <alignment horizontal="left" vertical="center" wrapText="1" indent="1"/>
    </xf>
    <xf numFmtId="0" fontId="19" fillId="8" borderId="36" applyAlignment="1" pivotButton="0" quotePrefix="0" xfId="0">
      <alignment vertical="center" wrapText="1"/>
    </xf>
    <xf numFmtId="0" fontId="19" fillId="8" borderId="2" applyAlignment="1" pivotButton="0" quotePrefix="0" xfId="0">
      <alignment vertical="center" wrapText="1"/>
    </xf>
    <xf numFmtId="0" fontId="19" fillId="8" borderId="3" applyAlignment="1" pivotButton="0" quotePrefix="0" xfId="0">
      <alignment vertical="center" wrapText="1"/>
    </xf>
    <xf numFmtId="0" fontId="0" fillId="8" borderId="14" applyAlignment="1" pivotButton="0" quotePrefix="0" xfId="0">
      <alignment horizontal="center" vertical="center" wrapText="1"/>
    </xf>
    <xf numFmtId="0" fontId="19" fillId="8" borderId="16" applyAlignment="1" pivotButton="0" quotePrefix="0" xfId="0">
      <alignment horizontal="center" vertical="center" wrapText="1"/>
    </xf>
    <xf numFmtId="0" fontId="19" fillId="8" borderId="17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6" fillId="2" borderId="9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0" borderId="99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0" fillId="0" borderId="9" pivotButton="0" quotePrefix="0" xfId="0"/>
    <xf numFmtId="0" fontId="4" fillId="9" borderId="99" applyAlignment="1" pivotButton="0" quotePrefix="0" xfId="0">
      <alignment horizontal="left" vertical="center" wrapText="1" indent="1"/>
    </xf>
    <xf numFmtId="0" fontId="4" fillId="8" borderId="99" applyAlignment="1" pivotButton="0" quotePrefix="0" xfId="0">
      <alignment horizontal="left" vertical="center" wrapText="1" indent="1"/>
    </xf>
    <xf numFmtId="0" fontId="0" fillId="8" borderId="99" applyAlignment="1" pivotButton="0" quotePrefix="0" xfId="0">
      <alignment horizontal="left" vertical="center" wrapText="1" indent="3"/>
    </xf>
    <xf numFmtId="0" fontId="11" fillId="8" borderId="19" applyAlignment="1" pivotButton="0" quotePrefix="0" xfId="0">
      <alignment horizontal="left" indent="1"/>
    </xf>
    <xf numFmtId="0" fontId="0" fillId="0" borderId="11" pivotButton="0" quotePrefix="0" xfId="0"/>
    <xf numFmtId="0" fontId="0" fillId="8" borderId="19" applyAlignment="1" pivotButton="0" quotePrefix="0" xfId="0">
      <alignment horizontal="center"/>
    </xf>
    <xf numFmtId="14" fontId="0" fillId="9" borderId="99" applyAlignment="1" pivotButton="0" quotePrefix="0" xfId="0">
      <alignment horizontal="left" vertical="center" wrapText="1" indent="1"/>
    </xf>
    <xf numFmtId="49" fontId="0" fillId="8" borderId="99" applyAlignment="1" pivotButton="0" quotePrefix="0" xfId="0">
      <alignment horizontal="left" vertical="center" wrapText="1" indent="1"/>
    </xf>
    <xf numFmtId="0" fontId="19" fillId="0" borderId="99" applyAlignment="1" pivotButton="0" quotePrefix="0" xfId="0">
      <alignment horizontal="left" vertical="center" wrapText="1" indent="6"/>
    </xf>
    <xf numFmtId="0" fontId="4" fillId="8" borderId="102" applyAlignment="1" pivotButton="0" quotePrefix="0" xfId="0">
      <alignment horizontal="left" vertical="center" wrapText="1" inden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64" fontId="4" fillId="0" borderId="19" applyAlignment="1" pivotButton="0" quotePrefix="0" xfId="0">
      <alignment horizontal="left" vertical="center" wrapText="1"/>
    </xf>
    <xf numFmtId="0" fontId="9" fillId="2" borderId="19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57" pivotButton="0" quotePrefix="0" xfId="0"/>
    <xf numFmtId="0" fontId="0" fillId="0" borderId="53" pivotButton="0" quotePrefix="0" xfId="0"/>
    <xf numFmtId="0" fontId="0" fillId="0" borderId="55" pivotButton="0" quotePrefix="0" xfId="0"/>
    <xf numFmtId="0" fontId="0" fillId="0" borderId="103" pivotButton="0" quotePrefix="0" xfId="0"/>
    <xf numFmtId="0" fontId="0" fillId="8" borderId="9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3" pivotButton="0" quotePrefix="0" xfId="0"/>
    <xf numFmtId="0" fontId="4" fillId="8" borderId="104" applyAlignment="1" pivotButton="0" quotePrefix="0" xfId="0">
      <alignment horizontal="left" vertical="center" wrapText="1" indent="1"/>
    </xf>
    <xf numFmtId="0" fontId="0" fillId="0" borderId="43" pivotButton="0" quotePrefix="0" xfId="0"/>
    <xf numFmtId="0" fontId="0" fillId="8" borderId="101" applyAlignment="1" pivotButton="0" quotePrefix="0" xfId="0">
      <alignment horizontal="center" vertical="center" wrapText="1"/>
    </xf>
    <xf numFmtId="0" fontId="0" fillId="0" borderId="24" pivotButton="0" quotePrefix="0" xfId="0"/>
    <xf numFmtId="0" fontId="4" fillId="8" borderId="93" applyAlignment="1" pivotButton="0" quotePrefix="0" xfId="0">
      <alignment horizontal="left" vertical="center" wrapText="1" indent="1"/>
    </xf>
    <xf numFmtId="0" fontId="0" fillId="0" borderId="35" pivotButton="0" quotePrefix="0" xfId="0"/>
    <xf numFmtId="0" fontId="4" fillId="8" borderId="94" applyAlignment="1" pivotButton="0" quotePrefix="0" xfId="0">
      <alignment horizontal="left" vertical="center" wrapText="1" indent="1"/>
    </xf>
    <xf numFmtId="0" fontId="0" fillId="0" borderId="37" pivotButton="0" quotePrefix="0" xfId="0"/>
    <xf numFmtId="0" fontId="0" fillId="8" borderId="100" applyAlignment="1" pivotButton="0" quotePrefix="0" xfId="0">
      <alignment horizontal="center" vertical="center" wrapText="1"/>
    </xf>
    <xf numFmtId="0" fontId="5" fillId="3" borderId="19" applyAlignment="1" pivotButton="0" quotePrefix="0" xfId="0">
      <alignment horizontal="center" vertical="center" wrapText="1"/>
    </xf>
    <xf numFmtId="0" fontId="0" fillId="0" borderId="96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38" pivotButton="0" quotePrefix="0" xfId="0"/>
    <xf numFmtId="0" fontId="4" fillId="0" borderId="97" applyAlignment="1" pivotButton="0" quotePrefix="0" xfId="0">
      <alignment horizontal="center" vertical="center" wrapText="1"/>
    </xf>
    <xf numFmtId="0" fontId="4" fillId="0" borderId="97" applyAlignment="1" pivotButton="0" quotePrefix="0" xfId="0">
      <alignment horizontal="left" vertical="center" wrapText="1" indent="1"/>
    </xf>
    <xf numFmtId="0" fontId="4" fillId="0" borderId="98" applyAlignment="1" pivotButton="0" quotePrefix="0" xfId="0">
      <alignment horizontal="center" vertical="center" wrapText="1"/>
    </xf>
    <xf numFmtId="164" fontId="4" fillId="0" borderId="94" applyAlignment="1" pivotButton="0" quotePrefix="0" xfId="0">
      <alignment horizontal="center" vertical="center" wrapText="1"/>
    </xf>
    <xf numFmtId="164" fontId="4" fillId="0" borderId="94" applyAlignment="1" pivotButton="0" quotePrefix="0" xfId="0">
      <alignment horizontal="left" vertical="center" wrapText="1" indent="1"/>
    </xf>
    <xf numFmtId="164" fontId="4" fillId="0" borderId="95" applyAlignment="1" pivotButton="0" quotePrefix="0" xfId="0">
      <alignment horizontal="center" vertical="center" wrapText="1"/>
    </xf>
    <xf numFmtId="0" fontId="9" fillId="2" borderId="19" applyAlignment="1" pivotButton="0" quotePrefix="0" xfId="0">
      <alignment horizontal="center" vertical="top" wrapText="1"/>
    </xf>
    <xf numFmtId="14" fontId="9" fillId="0" borderId="28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99" applyAlignment="1" pivotButton="0" quotePrefix="0" xfId="0">
      <alignment horizontal="left" vertical="center" wrapText="1" indent="3"/>
    </xf>
    <xf numFmtId="0" fontId="11" fillId="0" borderId="19" applyAlignment="1" pivotButton="0" quotePrefix="0" xfId="0">
      <alignment horizontal="left" indent="1"/>
    </xf>
    <xf numFmtId="0" fontId="0" fillId="0" borderId="19" applyAlignment="1" pivotButton="0" quotePrefix="0" xfId="0">
      <alignment horizontal="center"/>
    </xf>
    <xf numFmtId="14" fontId="0" fillId="0" borderId="99" applyAlignment="1" pivotButton="0" quotePrefix="0" xfId="0">
      <alignment horizontal="left" vertical="center" wrapText="1" indent="1"/>
    </xf>
    <xf numFmtId="49" fontId="0" fillId="0" borderId="99" applyAlignment="1" pivotButton="0" quotePrefix="0" xfId="0">
      <alignment horizontal="left" vertical="center" wrapText="1" indent="1"/>
    </xf>
    <xf numFmtId="0" fontId="4" fillId="0" borderId="102" applyAlignment="1" pivotButton="0" quotePrefix="0" xfId="0">
      <alignment horizontal="left" vertical="center" wrapText="1" indent="1"/>
    </xf>
    <xf numFmtId="0" fontId="5" fillId="0" borderId="112" applyAlignment="1" pivotButton="0" quotePrefix="0" xfId="0">
      <alignment horizontal="left" vertical="center" wrapText="1" indent="1"/>
    </xf>
    <xf numFmtId="0" fontId="5" fillId="0" borderId="112" applyAlignment="1" pivotButton="0" quotePrefix="0" xfId="0">
      <alignment horizontal="center" vertical="center" wrapText="1"/>
    </xf>
    <xf numFmtId="0" fontId="4" fillId="0" borderId="99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19" fillId="0" borderId="99" applyAlignment="1" pivotButton="0" quotePrefix="0" xfId="0">
      <alignment horizontal="left" vertical="center" wrapText="1" indent="1"/>
    </xf>
    <xf numFmtId="0" fontId="19" fillId="0" borderId="99" applyAlignment="1" applyProtection="1" pivotButton="0" quotePrefix="0" xfId="0">
      <alignment horizontal="left" vertical="center" indent="2"/>
      <protection locked="0" hidden="0"/>
    </xf>
    <xf numFmtId="0" fontId="19" fillId="0" borderId="99" applyAlignment="1" applyProtection="1" pivotButton="0" quotePrefix="0" xfId="0">
      <alignment horizontal="left" vertical="center" wrapText="1" indent="3"/>
      <protection locked="0" hidden="0"/>
    </xf>
    <xf numFmtId="0" fontId="19" fillId="0" borderId="99" applyAlignment="1" applyProtection="1" pivotButton="0" quotePrefix="0" xfId="0">
      <alignment horizontal="left" vertical="center" wrapText="1" indent="2"/>
      <protection locked="0" hidden="0"/>
    </xf>
    <xf numFmtId="0" fontId="19" fillId="0" borderId="99" applyAlignment="1" applyProtection="1" pivotButton="0" quotePrefix="0" xfId="0">
      <alignment horizontal="left" vertical="center" wrapText="1" indent="1"/>
      <protection locked="0" hidden="0"/>
    </xf>
    <xf numFmtId="0" fontId="4" fillId="0" borderId="111" applyAlignment="1" applyProtection="1" pivotButton="0" quotePrefix="0" xfId="0">
      <alignment horizontal="left" vertical="center" wrapText="1" inden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9" fillId="0" borderId="111" applyAlignment="1" applyProtection="1" pivotButton="0" quotePrefix="0" xfId="0">
      <alignment horizontal="left" vertical="center" wrapText="1" indent="1"/>
      <protection locked="0" hidden="0"/>
    </xf>
    <xf numFmtId="0" fontId="19" fillId="0" borderId="111" applyAlignment="1" applyProtection="1" pivotButton="0" quotePrefix="0" xfId="0">
      <alignment horizontal="left" vertical="center" wrapText="1" indent="2"/>
      <protection locked="0" hidden="0"/>
    </xf>
    <xf numFmtId="0" fontId="19" fillId="0" borderId="111" applyAlignment="1" applyProtection="1" pivotButton="0" quotePrefix="0" xfId="0">
      <alignment horizontal="left" vertical="center" wrapText="1" indent="3"/>
      <protection locked="0" hidden="0"/>
    </xf>
    <xf numFmtId="0" fontId="5" fillId="0" borderId="19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9" fillId="0" borderId="19" applyAlignment="1" applyProtection="1" pivotButton="0" quotePrefix="0" xfId="0">
      <alignment horizontal="center" vertical="center" wrapText="1"/>
      <protection locked="0" hidden="0"/>
    </xf>
    <xf numFmtId="0" fontId="0" fillId="0" borderId="51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0" fontId="19" fillId="0" borderId="105" applyAlignment="1" applyProtection="1" pivotButton="0" quotePrefix="0" xfId="0">
      <alignment horizontal="center" vertical="center" wrapText="1"/>
      <protection locked="0" hidden="0"/>
    </xf>
    <xf numFmtId="0" fontId="0" fillId="0" borderId="7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0" fontId="0" fillId="0" borderId="53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19" fillId="0" borderId="66" applyAlignment="1" applyProtection="1" pivotButton="0" quotePrefix="0" xfId="0">
      <alignment horizontal="center" vertical="center" wrapText="1"/>
      <protection locked="0" hidden="0"/>
    </xf>
    <xf numFmtId="0" fontId="0" fillId="0" borderId="74" applyProtection="1" pivotButton="0" quotePrefix="0" xfId="0">
      <protection locked="0" hidden="0"/>
    </xf>
    <xf numFmtId="0" fontId="0" fillId="0" borderId="84" applyProtection="1" pivotButton="0" quotePrefix="0" xfId="0">
      <protection locked="0" hidden="0"/>
    </xf>
    <xf numFmtId="0" fontId="0" fillId="0" borderId="58" applyProtection="1" pivotButton="0" quotePrefix="0" xfId="0">
      <protection locked="0" hidden="0"/>
    </xf>
    <xf numFmtId="0" fontId="19" fillId="0" borderId="67" applyAlignment="1" applyProtection="1" pivotButton="0" quotePrefix="0" xfId="0">
      <alignment horizontal="center" vertical="center" wrapText="1"/>
      <protection locked="0" hidden="0"/>
    </xf>
    <xf numFmtId="0" fontId="0" fillId="0" borderId="76" applyProtection="1" pivotButton="0" quotePrefix="0" xfId="0">
      <protection locked="0" hidden="0"/>
    </xf>
    <xf numFmtId="0" fontId="0" fillId="0" borderId="77" applyProtection="1" pivotButton="0" quotePrefix="0" xfId="0">
      <protection locked="0" hidden="0"/>
    </xf>
    <xf numFmtId="0" fontId="5" fillId="0" borderId="96" applyAlignment="1" pivotButton="0" quotePrefix="0" xfId="0">
      <alignment horizontal="left" vertical="center" wrapText="1" indent="1"/>
    </xf>
    <xf numFmtId="0" fontId="5" fillId="0" borderId="96" applyAlignment="1" pivotButton="0" quotePrefix="0" xfId="0">
      <alignment horizontal="center" vertical="center" wrapText="1"/>
    </xf>
    <xf numFmtId="0" fontId="4" fillId="0" borderId="99" applyAlignment="1" applyProtection="1" pivotButton="0" quotePrefix="0" xfId="0">
      <alignment vertical="center" wrapText="1"/>
      <protection locked="0" hidden="0"/>
    </xf>
    <xf numFmtId="0" fontId="4" fillId="0" borderId="99" applyAlignment="1" applyProtection="1" pivotButton="0" quotePrefix="0" xfId="0">
      <alignment horizontal="center" vertical="center" wrapText="1"/>
      <protection locked="0" hidden="0"/>
    </xf>
    <xf numFmtId="0" fontId="4" fillId="0" borderId="102" applyAlignment="1" applyProtection="1" pivotButton="0" quotePrefix="0" xfId="0">
      <alignment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4" fillId="0" borderId="102" applyAlignment="1" applyProtection="1" pivotButton="0" quotePrefix="0" xfId="0">
      <alignment horizontal="center" vertical="center" wrapText="1"/>
      <protection locked="0" hidden="0"/>
    </xf>
    <xf numFmtId="0" fontId="5" fillId="0" borderId="108" applyAlignment="1" applyProtection="1" pivotButton="0" quotePrefix="0" xfId="0">
      <alignment horizontal="left" vertical="center" wrapText="1" inden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9" fillId="2" borderId="19" applyAlignment="1" applyProtection="1" pivotButton="0" quotePrefix="0" xfId="0">
      <alignment horizontal="center" vertical="center" wrapText="1"/>
      <protection locked="0" hidden="0"/>
    </xf>
    <xf numFmtId="0" fontId="4" fillId="0" borderId="19" applyAlignment="1" applyProtection="1" pivotButton="0" quotePrefix="0" xfId="0">
      <alignment horizontal="center" vertical="center" wrapText="1"/>
      <protection locked="0" hidden="0"/>
    </xf>
    <xf numFmtId="0" fontId="4" fillId="0" borderId="110" applyAlignment="1" applyProtection="1" pivotButton="0" quotePrefix="0" xfId="0">
      <alignment horizontal="left" vertical="center" wrapText="1"/>
      <protection locked="0" hidden="0"/>
    </xf>
    <xf numFmtId="0" fontId="4" fillId="0" borderId="108" applyAlignment="1" applyProtection="1" pivotButton="0" quotePrefix="0" xfId="0">
      <alignment horizontal="left" vertical="center" wrapText="1"/>
      <protection locked="0" hidden="0"/>
    </xf>
    <xf numFmtId="0" fontId="4" fillId="0" borderId="109" applyAlignment="1" applyProtection="1" pivotButton="0" quotePrefix="0" xfId="0">
      <alignment horizontal="left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107" applyProtection="1" pivotButton="0" quotePrefix="0" xfId="0">
      <protection locked="0" hidden="0"/>
    </xf>
    <xf numFmtId="0" fontId="9" fillId="2" borderId="19" applyAlignment="1" applyProtection="1" pivotButton="0" quotePrefix="0" xfId="0">
      <alignment horizontal="center" vertical="top" wrapText="1"/>
      <protection locked="0" hidden="0"/>
    </xf>
    <xf numFmtId="0" fontId="0" fillId="0" borderId="29" applyProtection="1" pivotButton="0" quotePrefix="0" xfId="0">
      <protection locked="0" hidden="0"/>
    </xf>
    <xf numFmtId="0" fontId="5" fillId="0" borderId="112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19" fillId="0" borderId="99" applyAlignment="1" pivotButton="0" quotePrefix="0" xfId="0">
      <alignment horizontal="left" vertical="center" wrapText="1" indent="3"/>
    </xf>
    <xf numFmtId="0" fontId="19" fillId="0" borderId="99" applyAlignment="1" pivotButton="0" quotePrefix="0" xfId="0">
      <alignment horizontal="left" vertical="center" indent="3"/>
    </xf>
    <xf numFmtId="0" fontId="19" fillId="0" borderId="102" applyAlignment="1" applyProtection="1" pivotButton="0" quotePrefix="0" xfId="0">
      <alignment horizontal="left" vertical="center" wrapText="1" indent="3"/>
      <protection locked="0" hidden="0"/>
    </xf>
    <xf numFmtId="0" fontId="5" fillId="0" borderId="96" applyAlignment="1" applyProtection="1" pivotButton="0" quotePrefix="0" xfId="0">
      <alignment horizontal="left" vertical="center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5" fillId="0" borderId="96" applyAlignment="1" applyProtection="1" pivotButton="0" quotePrefix="0" xfId="0">
      <alignment horizontal="center" vertical="center" wrapText="1"/>
      <protection locked="0" hidden="0"/>
    </xf>
    <xf numFmtId="164" fontId="4" fillId="0" borderId="99" applyAlignment="1" pivotButton="0" quotePrefix="0" xfId="0">
      <alignment vertical="center" wrapText="1"/>
    </xf>
    <xf numFmtId="164" fontId="4" fillId="0" borderId="99" applyAlignment="1" pivotButton="0" quotePrefix="0" xfId="0">
      <alignment horizontal="center" vertical="center" wrapText="1"/>
    </xf>
    <xf numFmtId="164" fontId="4" fillId="0" borderId="99" applyAlignment="1" applyProtection="1" pivotButton="0" quotePrefix="0" xfId="0">
      <alignment horizontal="center" vertical="center" wrapText="1"/>
      <protection locked="0" hidden="0"/>
    </xf>
    <xf numFmtId="0" fontId="9" fillId="2" borderId="108" applyAlignment="1" applyProtection="1" pivotButton="0" quotePrefix="0" xfId="0">
      <alignment horizontal="center" vertical="center" wrapText="1"/>
      <protection locked="0" hidden="0"/>
    </xf>
    <xf numFmtId="0" fontId="4" fillId="0" borderId="108" applyAlignment="1" applyProtection="1" pivotButton="0" quotePrefix="0" xfId="0">
      <alignment horizontal="center" vertical="center" wrapText="1"/>
      <protection locked="0" hidden="0"/>
    </xf>
    <xf numFmtId="0" fontId="8" fillId="0" borderId="113" applyAlignment="1" applyProtection="1" pivotButton="0" quotePrefix="0" xfId="0">
      <alignment horizontal="center" vertical="center" wrapText="1"/>
      <protection locked="0" hidden="0"/>
    </xf>
    <xf numFmtId="0" fontId="0" fillId="0" borderId="52" applyProtection="1" pivotButton="0" quotePrefix="0" xfId="0">
      <protection locked="0" hidden="0"/>
    </xf>
    <xf numFmtId="0" fontId="19" fillId="0" borderId="99" applyAlignment="1" pivotButton="0" quotePrefix="0" xfId="0">
      <alignment horizontal="left" vertical="center" wrapText="1" indent="2"/>
    </xf>
    <xf numFmtId="0" fontId="11" fillId="0" borderId="99" applyAlignment="1" pivotButton="0" quotePrefix="0" xfId="0">
      <alignment horizontal="center"/>
    </xf>
    <xf numFmtId="0" fontId="4" fillId="0" borderId="102" applyAlignment="1" pivotButton="0" quotePrefix="0" xfId="0">
      <alignment horizontal="center" vertical="center" wrapText="1"/>
    </xf>
    <xf numFmtId="0" fontId="0" fillId="0" borderId="79" pivotButton="0" quotePrefix="0" xfId="0"/>
    <xf numFmtId="0" fontId="0" fillId="0" borderId="80" pivotButton="0" quotePrefix="0" xfId="0"/>
    <xf numFmtId="0" fontId="5" fillId="0" borderId="19" applyAlignment="1" applyProtection="1" pivotButton="0" quotePrefix="0" xfId="0">
      <alignment horizontal="left" vertical="center" wrapText="1"/>
      <protection locked="0" hidden="0"/>
    </xf>
    <xf numFmtId="0" fontId="19" fillId="0" borderId="99" applyAlignment="1" pivotButton="0" quotePrefix="0" xfId="0">
      <alignment horizontal="left" vertical="center" indent="2"/>
    </xf>
    <xf numFmtId="0" fontId="8" fillId="2" borderId="19" applyAlignment="1" applyProtection="1" pivotButton="0" quotePrefix="0" xfId="0">
      <alignment horizontal="center" vertical="center" wrapText="1"/>
      <protection locked="0" hidden="0"/>
    </xf>
    <xf numFmtId="0" fontId="0" fillId="0" borderId="107" pivotButton="0" quotePrefix="0" xfId="0"/>
    <xf numFmtId="0" fontId="0" fillId="0" borderId="86" pivotButton="0" quotePrefix="0" xfId="0"/>
    <xf numFmtId="0" fontId="0" fillId="0" borderId="56" pivotButton="0" quotePrefix="0" xfId="0"/>
    <xf numFmtId="0" fontId="0" fillId="0" borderId="84" pivotButton="0" quotePrefix="0" xfId="0"/>
    <xf numFmtId="0" fontId="0" fillId="0" borderId="58" pivotButton="0" quotePrefix="0" xfId="0"/>
    <xf numFmtId="0" fontId="0" fillId="0" borderId="115" pivotButton="0" quotePrefix="0" xfId="0"/>
    <xf numFmtId="0" fontId="0" fillId="0" borderId="64" pivotButton="0" quotePrefix="0" xfId="0"/>
    <xf numFmtId="0" fontId="0" fillId="0" borderId="63" pivotButton="0" quotePrefix="0" xfId="0"/>
    <xf numFmtId="0" fontId="0" fillId="0" borderId="116" pivotButton="0" quotePrefix="0" xfId="0"/>
    <xf numFmtId="0" fontId="0" fillId="0" borderId="85" pivotButton="0" quotePrefix="0" xfId="0"/>
    <xf numFmtId="0" fontId="0" fillId="0" borderId="31" applyAlignment="1" pivotButton="0" quotePrefix="0" xfId="0">
      <alignment horizontal="left" vertical="center"/>
    </xf>
    <xf numFmtId="0" fontId="0" fillId="0" borderId="114" pivotButton="0" quotePrefix="0" xfId="0"/>
    <xf numFmtId="0" fontId="0" fillId="0" borderId="31" applyAlignment="1" pivotButton="0" quotePrefix="0" xfId="0">
      <alignment horizontal="left"/>
    </xf>
    <xf numFmtId="0" fontId="14" fillId="0" borderId="19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9.jpeg" Id="rId1" /><Relationship Type="http://schemas.openxmlformats.org/officeDocument/2006/relationships/image" Target="/xl/media/image10.jpeg" Id="rId2" /><Relationship Type="http://schemas.openxmlformats.org/officeDocument/2006/relationships/image" Target="/xl/media/image11.jpeg" Id="rId3" /><Relationship Type="http://schemas.openxmlformats.org/officeDocument/2006/relationships/image" Target="/xl/media/image12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278779</colOff>
      <row>1</row>
      <rowOff>49807</rowOff>
    </from>
    <to>
      <col>2</col>
      <colOff>555887</colOff>
      <row>10</row>
      <rowOff>19220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78779" y="247927"/>
          <a:ext cx="1976368" cy="201592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278779</colOff>
      <row>1</row>
      <rowOff>49807</rowOff>
    </from>
    <to>
      <col>2</col>
      <colOff>552077</colOff>
      <row>11</row>
      <rowOff>92155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78779" y="244953"/>
          <a:ext cx="1979342" cy="1986192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278779</colOff>
      <row>1</row>
      <rowOff>49807</rowOff>
    </from>
    <to>
      <col>2</col>
      <colOff>555887</colOff>
      <row>11</row>
      <rowOff>95965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78779" y="247927"/>
          <a:ext cx="1976368" cy="2015928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272143</colOff>
      <row>81</row>
      <rowOff>142331</rowOff>
    </from>
    <to>
      <col>6</col>
      <colOff>359774</colOff>
      <row>86</row>
      <rowOff>211909</rowOff>
    </to>
    <pic>
      <nvPicPr>
        <cNvPr id="4" name="Picture 3"/>
        <cNvPicPr>
          <a:picLocks noChangeAspect="1"/>
        </cNvPicPr>
      </nvPicPr>
      <blipFill>
        <a:blip r:embed="rId1">
          <clrChange>
            <clrFrom/>
            <clrTo/>
          </clrChange>
        </a:blip>
        <a:stretch>
          <a:fillRect/>
        </a:stretch>
      </blipFill>
      <spPr>
        <a:xfrm>
          <a:off x="2843893" y="22498867"/>
          <a:ext cx="2647951" cy="168665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278779</colOff>
      <row>1</row>
      <rowOff>49807</rowOff>
    </from>
    <to>
      <col>2</col>
      <colOff>552077</colOff>
      <row>11</row>
      <rowOff>92155</rowOff>
    </to>
    <pic>
      <nvPicPr>
        <cNvPr id="5" name="Picture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78779" y="247927"/>
          <a:ext cx="1976368" cy="2015928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278779</colOff>
      <row>1</row>
      <rowOff>49807</rowOff>
    </from>
    <to>
      <col>2</col>
      <colOff>555887</colOff>
      <row>11</row>
      <rowOff>95965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78779" y="247927"/>
          <a:ext cx="1976368" cy="2015928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325787</colOff>
      <row>1</row>
      <rowOff>107576</rowOff>
    </from>
    <to>
      <col>1</col>
      <colOff>435525</colOff>
      <row>3</row>
      <rowOff>58159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25787" y="304800"/>
          <a:ext cx="855153" cy="591671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331693</colOff>
      <row>1</row>
      <rowOff>139465</rowOff>
    </from>
    <to>
      <col>1</col>
      <colOff>402067</colOff>
      <row>4</row>
      <rowOff>98051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693" y="336689"/>
          <a:ext cx="735107" cy="559781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428625</colOff>
      <row>0</row>
      <rowOff>94097</rowOff>
    </from>
    <to>
      <col>4</col>
      <colOff>382759</colOff>
      <row>3</row>
      <rowOff>141920</rowOff>
    </to>
    <pic>
      <nvPicPr>
        <cNvPr id="2" name="Picture 1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428625" y="94097"/>
          <a:ext cx="2687809" cy="647898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380999</colOff>
      <row>0</row>
      <rowOff>70153</rowOff>
    </from>
    <ext cx="2752579" cy="690860"/>
    <pic>
      <nvPicPr>
        <cNvPr id="3" name="Picture 2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4057649" y="70153"/>
          <a:ext cx="2752579" cy="690860"/>
        </a:xfrm>
        <a:prstGeom prst="rect">
          <avLst/>
        </a:prstGeom>
        <a:noFill/>
        <a:ln>
          <a:prstDash val="solid"/>
        </a:ln>
      </spPr>
    </pic>
    <clientData/>
  </oneCellAnchor>
  <oneCellAnchor>
    <from>
      <col>6</col>
      <colOff>304800</colOff>
      <row>26</row>
      <rowOff>66675</rowOff>
    </from>
    <ext cx="2752579" cy="690860"/>
    <pic>
      <nvPicPr>
        <cNvPr id="7" name="Picture 6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3981450" y="5286375"/>
          <a:ext cx="2752579" cy="690860"/>
        </a:xfrm>
        <a:prstGeom prst="rect">
          <avLst/>
        </a:prstGeom>
        <a:noFill/>
        <a:ln>
          <a:prstDash val="solid"/>
        </a:ln>
      </spPr>
    </pic>
    <clientData/>
  </oneCellAnchor>
  <oneCellAnchor>
    <from>
      <col>0</col>
      <colOff>285750</colOff>
      <row>26</row>
      <rowOff>66675</rowOff>
    </from>
    <ext cx="2752579" cy="690860"/>
    <pic>
      <nvPicPr>
        <cNvPr id="8" name="Picture 7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85750" y="5286375"/>
          <a:ext cx="2752579" cy="690860"/>
        </a:xfrm>
        <a:prstGeom prst="rect">
          <avLst/>
        </a:prstGeom>
        <a:noFill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le1" displayName="Table1" ref="A1:AH376" headerRowCount="1" totalsRowShown="0" headerRowDxfId="45" headerRowBorderDxfId="44" tableBorderDxfId="43" totalsRowBorderDxfId="42">
  <autoFilter ref="A1:AH376">
    <filterColumn colId="12" hiddenButton="0" showButton="1">
      <filters>
        <filter val="SERVICE VALVE IN-SITU"/>
      </filters>
    </filterColumn>
  </autoFilter>
  <tableColumns count="34">
    <tableColumn id="1" name="No" dataDxfId="41"/>
    <tableColumn id="2" name="WO " dataDxfId="40"/>
    <tableColumn id="34" name="Work ID" dataDxfId="39"/>
    <tableColumn id="32" name="Unit Area" dataDxfId="38"/>
    <tableColumn id="33" name="Unit" dataDxfId="37"/>
    <tableColumn id="3" name="Type of Valve" dataDxfId="36"/>
    <tableColumn id="4" name="Manufacturer" dataDxfId="35"/>
    <tableColumn id="5" name="Valve Operated Type" dataDxfId="34"/>
    <tableColumn id="6" name="Serial No" dataDxfId="33"/>
    <tableColumn id="7" name="Tag Number (Valve No)" dataDxfId="32"/>
    <tableColumn id="8" name="Name Plate" dataDxfId="31"/>
    <tableColumn id="9" name="Date Recieved" dataDxfId="30"/>
    <tableColumn id="10" name="Service Type" dataDxfId="29"/>
    <tableColumn id="11" name="As received Report No" dataDxfId="28"/>
    <tableColumn id="12" name="Cert Report No" dataDxfId="27"/>
    <tableColumn id="13" name="Finding Report No" dataDxfId="26"/>
    <tableColumn id="14" name="Service Report No" dataDxfId="25"/>
    <tableColumn id="15" name="Transport Mode" dataDxfId="24"/>
    <tableColumn id="16" name="Transport By" dataDxfId="23"/>
    <tableColumn id="17" name="Packaging " dataDxfId="22"/>
    <tableColumn id="18" name="Received By" dataDxfId="21"/>
    <tableColumn id="19" name="TRANSPORTATION (COMMENT)" dataDxfId="20"/>
    <tableColumn id="20" name="Inlet (Size)" dataDxfId="19"/>
    <tableColumn id="21" name="Outlet (Size)" dataDxfId="18"/>
    <tableColumn id="22" name="Inlet (Type)" dataDxfId="17"/>
    <tableColumn id="23" name="Outlet (Type)" dataDxfId="16"/>
    <tableColumn id="24" name="Inlet (Rating)" dataDxfId="15"/>
    <tableColumn id="25" name="Outlet (Rating)" dataDxfId="14"/>
    <tableColumn id="26" name="Inlet Connection Condition" dataDxfId="13"/>
    <tableColumn id="27" name="Outlet Connection Condition" dataDxfId="12"/>
    <tableColumn id="28" name=" Connection Major Damage" dataDxfId="11"/>
    <tableColumn id="29" name="Valve Body Condition" dataDxfId="10"/>
    <tableColumn id="30" name="Major Defect on Body" dataDxfId="9"/>
    <tableColumn id="31" name="Overall Valve Condition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6"/>
  <sheetViews>
    <sheetView tabSelected="1" topLeftCell="A357" zoomScale="85" zoomScaleNormal="85" workbookViewId="0">
      <selection activeCell="J361" sqref="A2:AH376"/>
    </sheetView>
  </sheetViews>
  <sheetFormatPr baseColWidth="8" defaultColWidth="11.25" defaultRowHeight="15.75"/>
  <cols>
    <col width="8.625" customWidth="1" min="1" max="1"/>
    <col width="11.75" customWidth="1" style="49" min="2" max="2"/>
    <col width="15.5" customWidth="1" style="49" min="3" max="3"/>
    <col width="17.25" customWidth="1" min="4" max="5"/>
    <col width="25.375" bestFit="1" customWidth="1" min="6" max="6"/>
    <col width="24.75" customWidth="1" min="7" max="7"/>
    <col width="25.25" customWidth="1" min="8" max="8"/>
    <col width="27" customWidth="1" style="148" min="9" max="9"/>
    <col width="37.75" customWidth="1" min="10" max="10"/>
    <col width="18.5" customWidth="1" min="11" max="11"/>
    <col width="32" customWidth="1" min="12" max="12"/>
    <col width="47" customWidth="1" min="13" max="13"/>
    <col width="33.625" customWidth="1" min="14" max="14"/>
    <col width="30.5" customWidth="1" min="15" max="15"/>
    <col width="31.625" customWidth="1" min="16" max="16"/>
    <col width="33.75" customWidth="1" min="17" max="17"/>
    <col width="16.75" customWidth="1" min="18" max="18"/>
    <col width="15.125" bestFit="1" customWidth="1" min="19" max="19"/>
    <col width="16.25" customWidth="1" min="20" max="20"/>
    <col width="44.75" bestFit="1" customWidth="1" min="21" max="21"/>
    <col width="15.5" customWidth="1" min="22" max="22"/>
    <col width="17.25" customWidth="1" min="23" max="23"/>
    <col width="15.75" customWidth="1" style="148" min="24" max="24"/>
    <col width="17.5" customWidth="1" min="25" max="25"/>
    <col width="17.75" customWidth="1" min="26" max="26"/>
    <col width="19.5" customWidth="1" min="27" max="27"/>
    <col width="31.5" customWidth="1" style="49" min="28" max="28"/>
    <col width="33.25" customWidth="1" min="29" max="29"/>
    <col width="31" customWidth="1" min="30" max="30"/>
    <col width="25.5" customWidth="1" style="49" min="31" max="31"/>
    <col width="25.75" customWidth="1" min="32" max="32"/>
    <col width="28" customWidth="1" min="33" max="33"/>
    <col width="24.25" customWidth="1" min="34" max="34"/>
    <col width="25.5" customWidth="1" min="35" max="35"/>
    <col width="35.25" customWidth="1" min="36" max="36"/>
    <col width="29.5" customWidth="1" min="37" max="37"/>
    <col width="22.75" customWidth="1" min="38" max="38"/>
    <col width="34.75" customWidth="1" min="39" max="39"/>
    <col width="38.25" customWidth="1" min="40" max="40"/>
    <col width="26" customWidth="1" min="41" max="41"/>
    <col width="23.5" customWidth="1" min="43" max="43"/>
    <col width="24.5" customWidth="1" min="44" max="44"/>
    <col width="19.5" customWidth="1" min="45" max="45"/>
    <col width="19.75" customWidth="1" min="46" max="46"/>
    <col width="25.25" customWidth="1" min="47" max="47"/>
    <col width="11" customWidth="1" min="52" max="52"/>
    <col width="13" customWidth="1" min="54" max="54"/>
    <col width="17.75" customWidth="1" min="56" max="56"/>
    <col width="16.75" customWidth="1" min="57" max="58"/>
    <col width="18.5" customWidth="1" min="59" max="59"/>
  </cols>
  <sheetData>
    <row r="1" ht="25.5" customHeight="1">
      <c r="A1" s="88" t="inlineStr">
        <is>
          <t>No</t>
        </is>
      </c>
      <c r="B1" s="89" t="inlineStr">
        <is>
          <t xml:space="preserve">WO </t>
        </is>
      </c>
      <c r="C1" s="89" t="inlineStr">
        <is>
          <t>Work ID</t>
        </is>
      </c>
      <c r="D1" s="89" t="inlineStr">
        <is>
          <t>Unit Area</t>
        </is>
      </c>
      <c r="E1" s="89" t="inlineStr">
        <is>
          <t>Unit</t>
        </is>
      </c>
      <c r="F1" s="90" t="inlineStr">
        <is>
          <t>Type of Valve</t>
        </is>
      </c>
      <c r="G1" s="90" t="inlineStr">
        <is>
          <t>Manufacturer</t>
        </is>
      </c>
      <c r="H1" s="90" t="inlineStr">
        <is>
          <t>Valve Operated Type</t>
        </is>
      </c>
      <c r="I1" s="90" t="inlineStr">
        <is>
          <t>Serial No</t>
        </is>
      </c>
      <c r="J1" s="90" t="inlineStr">
        <is>
          <t>Tag Number (Valve No)</t>
        </is>
      </c>
      <c r="K1" s="90" t="inlineStr">
        <is>
          <t>Name Plate</t>
        </is>
      </c>
      <c r="L1" s="90" t="inlineStr">
        <is>
          <t>Date Recieved</t>
        </is>
      </c>
      <c r="M1" s="91" t="inlineStr">
        <is>
          <t>Service Type</t>
        </is>
      </c>
      <c r="N1" s="90" t="inlineStr">
        <is>
          <t>As received Report No</t>
        </is>
      </c>
      <c r="O1" s="90" t="inlineStr">
        <is>
          <t>Cert Report No</t>
        </is>
      </c>
      <c r="P1" s="90" t="inlineStr">
        <is>
          <t>Finding Report No</t>
        </is>
      </c>
      <c r="Q1" s="90" t="inlineStr">
        <is>
          <t>Service Report No</t>
        </is>
      </c>
      <c r="R1" s="90" t="inlineStr">
        <is>
          <t>Transport Mode</t>
        </is>
      </c>
      <c r="S1" s="90" t="inlineStr">
        <is>
          <t>Transport By</t>
        </is>
      </c>
      <c r="T1" s="90" t="inlineStr">
        <is>
          <t xml:space="preserve">Packaging </t>
        </is>
      </c>
      <c r="U1" s="90" t="inlineStr">
        <is>
          <t>Received By</t>
        </is>
      </c>
      <c r="V1" s="90" t="inlineStr">
        <is>
          <t>TRANSPORTATION (COMMENT)</t>
        </is>
      </c>
      <c r="W1" s="90" t="inlineStr">
        <is>
          <t>Inlet (Size)</t>
        </is>
      </c>
      <c r="X1" s="90" t="inlineStr">
        <is>
          <t>Outlet (Size)</t>
        </is>
      </c>
      <c r="Y1" s="90" t="inlineStr">
        <is>
          <t>Inlet (Type)</t>
        </is>
      </c>
      <c r="Z1" s="90" t="inlineStr">
        <is>
          <t>Outlet (Type)</t>
        </is>
      </c>
      <c r="AA1" s="90" t="inlineStr">
        <is>
          <t>Inlet (Rating)</t>
        </is>
      </c>
      <c r="AB1" s="90" t="inlineStr">
        <is>
          <t>Outlet (Rating)</t>
        </is>
      </c>
      <c r="AC1" s="90" t="inlineStr">
        <is>
          <t>Inlet Connection Condition</t>
        </is>
      </c>
      <c r="AD1" s="90" t="inlineStr">
        <is>
          <t>Outlet Connection Condition</t>
        </is>
      </c>
      <c r="AE1" s="90" t="inlineStr">
        <is>
          <t xml:space="preserve"> Connection Major Damage</t>
        </is>
      </c>
      <c r="AF1" s="92" t="inlineStr">
        <is>
          <t>Valve Body Condition</t>
        </is>
      </c>
      <c r="AG1" s="92" t="inlineStr">
        <is>
          <t>Major Defect on Body</t>
        </is>
      </c>
      <c r="AH1" s="93" t="inlineStr">
        <is>
          <t>Overall Valve Condition</t>
        </is>
      </c>
    </row>
    <row r="2" ht="15.6" customHeight="1">
      <c r="A2" s="82" t="n">
        <v>1</v>
      </c>
      <c r="B2" s="75" t="n">
        <v>81620162</v>
      </c>
      <c r="C2" s="62" t="inlineStr">
        <is>
          <t>AMSMV001</t>
        </is>
      </c>
      <c r="D2" s="62" t="inlineStr">
        <is>
          <t>Ammonia</t>
        </is>
      </c>
      <c r="E2" s="62" t="n">
        <v>12</v>
      </c>
      <c r="F2" s="62" t="inlineStr">
        <is>
          <t>MOV</t>
        </is>
      </c>
      <c r="G2" s="62" t="inlineStr">
        <is>
          <t>SAMBO</t>
        </is>
      </c>
      <c r="H2" s="456" t="inlineStr">
        <is>
          <t>MOTOR OPERATED</t>
        </is>
      </c>
      <c r="I2" s="69" t="n"/>
      <c r="J2" s="129" t="inlineStr">
        <is>
          <t>M237-12MOV-004</t>
        </is>
      </c>
      <c r="K2" s="456" t="inlineStr">
        <is>
          <t>YES</t>
        </is>
      </c>
      <c r="L2" s="70" t="n">
        <v>45862</v>
      </c>
      <c r="M2" s="62" t="inlineStr">
        <is>
          <t>Gear Box Servicing &amp; Valve Packing Replacement</t>
        </is>
      </c>
      <c r="N2" s="69" t="inlineStr">
        <is>
          <t>LENOG_PCFSSB_RR_001</t>
        </is>
      </c>
      <c r="O2" s="69" t="inlineStr">
        <is>
          <t>LENOG_PCFSSB_CR_001</t>
        </is>
      </c>
      <c r="P2" s="69" t="inlineStr">
        <is>
          <t>LENOG_PCFSSB_FR_001</t>
        </is>
      </c>
      <c r="Q2" s="69" t="inlineStr">
        <is>
          <t>LENOG_PCFSSB_SR_001</t>
        </is>
      </c>
      <c r="R2" s="456" t="inlineStr">
        <is>
          <t>LORRY</t>
        </is>
      </c>
      <c r="S2" s="456" t="inlineStr">
        <is>
          <t>TURCOMP</t>
        </is>
      </c>
      <c r="T2" s="69" t="inlineStr">
        <is>
          <t>WODDEN PALLET</t>
        </is>
      </c>
      <c r="U2" s="456" t="inlineStr">
        <is>
          <t>LENOG SDN BHD</t>
        </is>
      </c>
      <c r="V2" s="456" t="inlineStr">
        <is>
          <t>N/A</t>
        </is>
      </c>
      <c r="W2" s="62" t="inlineStr">
        <is>
          <t>24"</t>
        </is>
      </c>
      <c r="X2" s="62" t="inlineStr">
        <is>
          <t>24"</t>
        </is>
      </c>
      <c r="Y2" s="456" t="inlineStr">
        <is>
          <t>FLANGE</t>
        </is>
      </c>
      <c r="Z2" s="456" t="inlineStr">
        <is>
          <t>FLANGE</t>
        </is>
      </c>
      <c r="AA2" s="62" t="n">
        <v>150</v>
      </c>
      <c r="AB2" s="62" t="n">
        <v>150</v>
      </c>
      <c r="AC2" s="72" t="inlineStr">
        <is>
          <t>CORRODED</t>
        </is>
      </c>
      <c r="AD2" s="72" t="inlineStr">
        <is>
          <t>SLIGHTLY CORRODED</t>
        </is>
      </c>
      <c r="AE2" s="72" t="inlineStr">
        <is>
          <t>No</t>
        </is>
      </c>
      <c r="AF2" s="72" t="inlineStr">
        <is>
          <t>SCRACTHES</t>
        </is>
      </c>
      <c r="AG2" s="456" t="inlineStr">
        <is>
          <t>NO</t>
        </is>
      </c>
      <c r="AH2" s="520" t="inlineStr">
        <is>
          <t>ACCEPTABLE</t>
        </is>
      </c>
    </row>
    <row r="3">
      <c r="A3" s="82" t="n">
        <v>2</v>
      </c>
      <c r="B3" s="75" t="n">
        <v>81620163</v>
      </c>
      <c r="C3" s="62" t="inlineStr">
        <is>
          <t>AMSMV002</t>
        </is>
      </c>
      <c r="D3" s="62" t="inlineStr">
        <is>
          <t>Ammonia</t>
        </is>
      </c>
      <c r="E3" s="62" t="n">
        <v>14</v>
      </c>
      <c r="F3" s="62" t="inlineStr">
        <is>
          <t>MOV</t>
        </is>
      </c>
      <c r="G3" s="62" t="inlineStr">
        <is>
          <t>SAMBO</t>
        </is>
      </c>
      <c r="H3" s="456" t="inlineStr">
        <is>
          <t>MOTOR OPERATED</t>
        </is>
      </c>
      <c r="I3" s="69" t="n"/>
      <c r="J3" s="129" t="inlineStr">
        <is>
          <t>M237-14MOV-001</t>
        </is>
      </c>
      <c r="K3" s="456" t="inlineStr">
        <is>
          <t>YES</t>
        </is>
      </c>
      <c r="L3" s="70" t="n">
        <v>45863</v>
      </c>
      <c r="M3" s="62" t="inlineStr">
        <is>
          <t>Gear Box Servicing &amp; Valve Packing Replacement</t>
        </is>
      </c>
      <c r="N3" s="69" t="inlineStr">
        <is>
          <t>LENOG_PCFSSB_RR_002</t>
        </is>
      </c>
      <c r="O3" s="69" t="inlineStr">
        <is>
          <t>LENOG_PCFSSB_CR_002</t>
        </is>
      </c>
      <c r="P3" s="69" t="inlineStr">
        <is>
          <t>LENOG_PCFSSB_FR_002</t>
        </is>
      </c>
      <c r="Q3" s="69" t="inlineStr">
        <is>
          <t>LENOG_PCFSSB_SR_002</t>
        </is>
      </c>
      <c r="R3" s="456" t="inlineStr">
        <is>
          <t>LORRY</t>
        </is>
      </c>
      <c r="S3" s="456" t="inlineStr">
        <is>
          <t>TURCOMP</t>
        </is>
      </c>
      <c r="T3" s="69" t="inlineStr">
        <is>
          <t>WODDEN PALLET</t>
        </is>
      </c>
      <c r="U3" s="456" t="inlineStr">
        <is>
          <t>LENOG SDN BHD</t>
        </is>
      </c>
      <c r="V3" s="456" t="inlineStr">
        <is>
          <t>HANDWHEEL DENTED DUE TO INPROPER SECURING</t>
        </is>
      </c>
      <c r="W3" s="62" t="n">
        <v>24</v>
      </c>
      <c r="X3" s="62" t="n">
        <v>24</v>
      </c>
      <c r="Y3" s="456" t="inlineStr">
        <is>
          <t>THREADED</t>
        </is>
      </c>
      <c r="Z3" s="456" t="inlineStr">
        <is>
          <t>THREADED</t>
        </is>
      </c>
      <c r="AA3" s="62" t="n">
        <v>300</v>
      </c>
      <c r="AB3" s="62" t="n">
        <v>300</v>
      </c>
      <c r="AC3" s="72" t="inlineStr">
        <is>
          <t>SLIGHTLY CORRODED</t>
        </is>
      </c>
      <c r="AD3" s="72" t="inlineStr">
        <is>
          <t>SEVERELY CORRODED</t>
        </is>
      </c>
      <c r="AE3" s="72" t="inlineStr">
        <is>
          <t>YES</t>
        </is>
      </c>
      <c r="AF3" s="72" t="inlineStr">
        <is>
          <t>SCRACTHES</t>
        </is>
      </c>
      <c r="AG3" s="456" t="inlineStr">
        <is>
          <t>YES</t>
        </is>
      </c>
      <c r="AH3" s="520" t="inlineStr">
        <is>
          <t>NOT ACCEPTABLE</t>
        </is>
      </c>
    </row>
    <row r="4" customFormat="1" s="55">
      <c r="A4" s="82" t="n">
        <v>3</v>
      </c>
      <c r="B4" s="75" t="n">
        <v>81620164</v>
      </c>
      <c r="C4" s="62" t="inlineStr">
        <is>
          <t>AMSMV003</t>
        </is>
      </c>
      <c r="D4" s="62" t="inlineStr">
        <is>
          <t>Ammonia</t>
        </is>
      </c>
      <c r="E4" s="62" t="n">
        <v>14</v>
      </c>
      <c r="F4" s="62" t="inlineStr">
        <is>
          <t>MOV</t>
        </is>
      </c>
      <c r="G4" s="62" t="inlineStr">
        <is>
          <t>SAMBO</t>
        </is>
      </c>
      <c r="H4" s="456" t="inlineStr">
        <is>
          <t>MOTOR OPERATED</t>
        </is>
      </c>
      <c r="I4" s="69" t="n"/>
      <c r="J4" s="129" t="inlineStr">
        <is>
          <t>M237-14MOV-002</t>
        </is>
      </c>
      <c r="K4" s="456" t="inlineStr">
        <is>
          <t>YES</t>
        </is>
      </c>
      <c r="L4" s="70" t="n">
        <v>45864</v>
      </c>
      <c r="M4" s="62" t="inlineStr">
        <is>
          <t>Gear Box Servicing &amp; Valve Packing Replacement</t>
        </is>
      </c>
      <c r="N4" s="69" t="inlineStr">
        <is>
          <t>LENOG_PCFSSB_RR_003</t>
        </is>
      </c>
      <c r="O4" s="69" t="inlineStr">
        <is>
          <t>LENOG_PCFSSB_CR_003</t>
        </is>
      </c>
      <c r="P4" s="69" t="inlineStr">
        <is>
          <t>LENOG_PCFSSB_FR_003</t>
        </is>
      </c>
      <c r="Q4" s="69" t="inlineStr">
        <is>
          <t>LENOG_PCFSSB_SR_003</t>
        </is>
      </c>
      <c r="R4" s="68" t="n"/>
      <c r="S4" s="68" t="n"/>
      <c r="T4" s="68" t="n"/>
      <c r="U4" s="68" t="n"/>
      <c r="V4" s="68" t="n"/>
      <c r="W4" s="62" t="n">
        <v>20</v>
      </c>
      <c r="X4" s="62" t="n">
        <v>20</v>
      </c>
      <c r="Y4" s="68" t="n"/>
      <c r="Z4" s="68" t="n"/>
      <c r="AA4" s="62" t="n">
        <v>300</v>
      </c>
      <c r="AB4" s="62" t="n">
        <v>300</v>
      </c>
      <c r="AC4" s="68" t="n"/>
      <c r="AD4" s="68" t="n"/>
      <c r="AE4" s="68" t="n"/>
      <c r="AF4" s="68" t="n"/>
      <c r="AG4" s="68" t="n"/>
      <c r="AH4" s="86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  <c r="BB4" s="54" t="n"/>
      <c r="BC4" s="54" t="n"/>
      <c r="BD4" s="54" t="n"/>
      <c r="BE4" s="54" t="n"/>
      <c r="BF4" s="54" t="n"/>
      <c r="BG4" s="54" t="n"/>
      <c r="BH4" s="54" t="n"/>
    </row>
    <row r="5" customFormat="1" s="53">
      <c r="A5" s="82" t="n">
        <v>4</v>
      </c>
      <c r="B5" s="75" t="n">
        <v>81620165</v>
      </c>
      <c r="C5" s="62" t="inlineStr">
        <is>
          <t>AMSMV004</t>
        </is>
      </c>
      <c r="D5" s="62" t="inlineStr">
        <is>
          <t>Ammonia</t>
        </is>
      </c>
      <c r="E5" s="62" t="n">
        <v>14</v>
      </c>
      <c r="F5" s="62" t="inlineStr">
        <is>
          <t>MOV</t>
        </is>
      </c>
      <c r="G5" s="62" t="inlineStr">
        <is>
          <t>SAMBO</t>
        </is>
      </c>
      <c r="H5" s="456" t="inlineStr">
        <is>
          <t>MOTOR OPERATED</t>
        </is>
      </c>
      <c r="I5" s="74" t="n"/>
      <c r="J5" s="129" t="inlineStr">
        <is>
          <t>M237-14MOV-003</t>
        </is>
      </c>
      <c r="K5" s="74" t="n"/>
      <c r="L5" s="74" t="n"/>
      <c r="M5" s="62" t="inlineStr">
        <is>
          <t>Gear Box Servicing &amp; Valve Packing Replacement</t>
        </is>
      </c>
      <c r="N5" s="69" t="inlineStr">
        <is>
          <t>LENOG_PCFSSB_RR_004</t>
        </is>
      </c>
      <c r="O5" s="69" t="inlineStr">
        <is>
          <t>LENOG_PCFSSB_CR_004</t>
        </is>
      </c>
      <c r="P5" s="69" t="inlineStr">
        <is>
          <t>LENOG_PCFSSB_FR_004</t>
        </is>
      </c>
      <c r="Q5" s="69" t="inlineStr">
        <is>
          <t>LENOG_PCFSSB_SR_004</t>
        </is>
      </c>
      <c r="R5" s="74" t="n"/>
      <c r="S5" s="74" t="n"/>
      <c r="T5" s="74" t="n"/>
      <c r="U5" s="74" t="n"/>
      <c r="V5" s="74" t="n"/>
      <c r="W5" s="62" t="n">
        <v>24</v>
      </c>
      <c r="X5" s="62" t="n">
        <v>24</v>
      </c>
      <c r="Y5" s="79" t="n"/>
      <c r="Z5" s="74" t="n"/>
      <c r="AA5" s="62" t="n">
        <v>300</v>
      </c>
      <c r="AB5" s="62" t="n">
        <v>300</v>
      </c>
      <c r="AC5" s="74" t="n"/>
      <c r="AD5" s="74" t="n"/>
      <c r="AE5" s="74" t="n"/>
      <c r="AF5" s="74" t="n"/>
      <c r="AG5" s="74" t="n"/>
      <c r="AH5" s="87" t="n"/>
      <c r="AI5" s="50" t="n"/>
      <c r="AJ5" s="50" t="n"/>
      <c r="AK5" s="50" t="n"/>
      <c r="AL5" s="50" t="n"/>
      <c r="AM5" s="50" t="n"/>
      <c r="AN5" s="52" t="n"/>
      <c r="AO5" s="50" t="n"/>
      <c r="AP5" s="50" t="n"/>
      <c r="AQ5" s="50" t="n"/>
      <c r="AR5" s="50" t="n"/>
      <c r="AS5" s="50" t="n"/>
      <c r="AT5" s="50" t="n"/>
      <c r="AU5" s="50" t="n"/>
      <c r="AV5" s="50" t="n"/>
      <c r="AW5" s="50" t="n"/>
      <c r="AX5" s="50" t="n"/>
      <c r="AY5" s="50" t="n"/>
      <c r="AZ5" s="50" t="n"/>
      <c r="BA5" s="52" t="n"/>
      <c r="BB5" s="50" t="n"/>
      <c r="BC5" s="50" t="n"/>
      <c r="BD5" s="50" t="n"/>
      <c r="BE5" s="51" t="n"/>
      <c r="BF5" s="51" t="n"/>
      <c r="BG5" s="51" t="n"/>
      <c r="BH5" s="51" t="n"/>
      <c r="BI5" s="51" t="n"/>
      <c r="BJ5" s="51" t="n"/>
    </row>
    <row r="6">
      <c r="A6" s="82" t="n">
        <v>5</v>
      </c>
      <c r="B6" s="75" t="n">
        <v>81620166</v>
      </c>
      <c r="C6" s="62" t="inlineStr">
        <is>
          <t>AMSMV005</t>
        </is>
      </c>
      <c r="D6" s="62" t="inlineStr">
        <is>
          <t>Ammonia</t>
        </is>
      </c>
      <c r="E6" s="62" t="n">
        <v>14</v>
      </c>
      <c r="F6" s="62" t="inlineStr">
        <is>
          <t>MOV</t>
        </is>
      </c>
      <c r="G6" s="62" t="inlineStr">
        <is>
          <t>SAMBO</t>
        </is>
      </c>
      <c r="H6" s="456" t="inlineStr">
        <is>
          <t>MOTOR OPERATED</t>
        </is>
      </c>
      <c r="I6" s="69" t="n"/>
      <c r="J6" s="129" t="inlineStr">
        <is>
          <t>M237-14MOV-004</t>
        </is>
      </c>
      <c r="K6" s="69" t="n"/>
      <c r="L6" s="69" t="n"/>
      <c r="M6" s="62" t="inlineStr">
        <is>
          <t>Gear Box Servicing &amp; Valve Packing Replacement</t>
        </is>
      </c>
      <c r="N6" s="69" t="inlineStr">
        <is>
          <t>LENOG_PCFSSB_RR_005</t>
        </is>
      </c>
      <c r="O6" s="69" t="inlineStr">
        <is>
          <t>LENOG_PCFSSB_CR_005</t>
        </is>
      </c>
      <c r="P6" s="69" t="inlineStr">
        <is>
          <t>LENOG_PCFSSB_FR_005</t>
        </is>
      </c>
      <c r="Q6" s="69" t="inlineStr">
        <is>
          <t>LENOG_PCFSSB_SR_005</t>
        </is>
      </c>
      <c r="R6" s="69" t="n"/>
      <c r="S6" s="69" t="n"/>
      <c r="T6" s="69" t="n"/>
      <c r="U6" s="69" t="n"/>
      <c r="V6" s="69" t="n"/>
      <c r="W6" s="62" t="n">
        <v>28</v>
      </c>
      <c r="X6" s="62" t="n">
        <v>28</v>
      </c>
      <c r="Y6" s="456" t="n"/>
      <c r="Z6" s="69" t="n"/>
      <c r="AA6" s="62" t="n">
        <v>300</v>
      </c>
      <c r="AB6" s="62" t="n">
        <v>300</v>
      </c>
      <c r="AC6" s="73" t="n"/>
      <c r="AD6" s="69" t="n"/>
      <c r="AE6" s="69" t="n"/>
      <c r="AF6" s="73" t="n"/>
      <c r="AG6" s="69" t="n"/>
      <c r="AH6" s="85" t="n"/>
    </row>
    <row r="7">
      <c r="A7" s="82" t="n">
        <v>6</v>
      </c>
      <c r="B7" s="75" t="n">
        <v>81620167</v>
      </c>
      <c r="C7" s="62" t="inlineStr">
        <is>
          <t>AMSMV006</t>
        </is>
      </c>
      <c r="D7" s="62" t="inlineStr">
        <is>
          <t>Ammonia</t>
        </is>
      </c>
      <c r="E7" s="62" t="n">
        <v>14</v>
      </c>
      <c r="F7" s="62" t="inlineStr">
        <is>
          <t>MOV</t>
        </is>
      </c>
      <c r="G7" s="62" t="inlineStr">
        <is>
          <t>SAMBO</t>
        </is>
      </c>
      <c r="H7" s="456" t="inlineStr">
        <is>
          <t>MOTOR OPERATED</t>
        </is>
      </c>
      <c r="I7" s="69" t="n"/>
      <c r="J7" s="129" t="inlineStr">
        <is>
          <t>M237-14MOV-005</t>
        </is>
      </c>
      <c r="K7" s="69" t="n"/>
      <c r="L7" s="69" t="n"/>
      <c r="M7" s="62" t="inlineStr">
        <is>
          <t>Gear Box Servicing &amp; Valve Packing Replacement</t>
        </is>
      </c>
      <c r="N7" s="69" t="inlineStr">
        <is>
          <t>LENOG_PCFSSB_RR_006</t>
        </is>
      </c>
      <c r="O7" s="69" t="inlineStr">
        <is>
          <t>LENOG_PCFSSB_CR_006</t>
        </is>
      </c>
      <c r="P7" s="69" t="inlineStr">
        <is>
          <t>LENOG_PCFSSB_FR_006</t>
        </is>
      </c>
      <c r="Q7" s="69" t="inlineStr">
        <is>
          <t>LENOG_PCFSSB_SR_006</t>
        </is>
      </c>
      <c r="R7" s="69" t="n"/>
      <c r="S7" s="69" t="n"/>
      <c r="T7" s="69" t="n"/>
      <c r="U7" s="69" t="n"/>
      <c r="V7" s="69" t="n"/>
      <c r="W7" s="62" t="n">
        <v>28</v>
      </c>
      <c r="X7" s="62" t="n">
        <v>28</v>
      </c>
      <c r="Y7" s="456" t="n"/>
      <c r="Z7" s="69" t="n"/>
      <c r="AA7" s="62" t="n">
        <v>300</v>
      </c>
      <c r="AB7" s="62" t="n">
        <v>300</v>
      </c>
      <c r="AC7" s="73" t="n"/>
      <c r="AD7" s="69" t="n"/>
      <c r="AE7" s="69" t="n"/>
      <c r="AF7" s="73" t="n"/>
      <c r="AG7" s="69" t="n"/>
      <c r="AH7" s="85" t="n"/>
    </row>
    <row r="8">
      <c r="A8" s="82" t="n">
        <v>7</v>
      </c>
      <c r="B8" s="75" t="n">
        <v>81620168</v>
      </c>
      <c r="C8" s="62" t="inlineStr">
        <is>
          <t>AMSMV007</t>
        </is>
      </c>
      <c r="D8" s="62" t="inlineStr">
        <is>
          <t>Ammonia</t>
        </is>
      </c>
      <c r="E8" s="62" t="n">
        <v>15</v>
      </c>
      <c r="F8" s="62" t="inlineStr">
        <is>
          <t>MOV</t>
        </is>
      </c>
      <c r="G8" s="62" t="inlineStr">
        <is>
          <t>SAMBO</t>
        </is>
      </c>
      <c r="H8" s="456" t="inlineStr">
        <is>
          <t>MOTOR OPERATED</t>
        </is>
      </c>
      <c r="I8" s="69" t="n"/>
      <c r="J8" s="129" t="inlineStr">
        <is>
          <t>M237-15MOV-011</t>
        </is>
      </c>
      <c r="K8" s="69" t="n"/>
      <c r="L8" s="69" t="n"/>
      <c r="M8" s="62" t="inlineStr">
        <is>
          <t>Gear Box Servicing &amp; Valve Packing Replacement</t>
        </is>
      </c>
      <c r="N8" s="69" t="inlineStr">
        <is>
          <t>LENOG_PCFSSB_RR_007</t>
        </is>
      </c>
      <c r="O8" s="69" t="inlineStr">
        <is>
          <t>LENOG_PCFSSB_CR_007</t>
        </is>
      </c>
      <c r="P8" s="69" t="inlineStr">
        <is>
          <t>LENOG_PCFSSB_FR_007</t>
        </is>
      </c>
      <c r="Q8" s="69" t="inlineStr">
        <is>
          <t>LENOG_PCFSSB_SR_007</t>
        </is>
      </c>
      <c r="R8" s="69" t="n"/>
      <c r="S8" s="69" t="n"/>
      <c r="T8" s="69" t="n"/>
      <c r="U8" s="69" t="n"/>
      <c r="V8" s="69" t="n"/>
      <c r="W8" s="62" t="n">
        <v>24</v>
      </c>
      <c r="X8" s="62" t="n">
        <v>24</v>
      </c>
      <c r="Y8" s="456" t="n"/>
      <c r="Z8" s="69" t="n"/>
      <c r="AA8" s="62" t="n">
        <v>300</v>
      </c>
      <c r="AB8" s="62" t="n">
        <v>300</v>
      </c>
      <c r="AC8" s="73" t="n"/>
      <c r="AD8" s="69" t="n"/>
      <c r="AE8" s="69" t="n"/>
      <c r="AF8" s="73" t="n"/>
      <c r="AG8" s="69" t="n"/>
      <c r="AH8" s="85" t="n"/>
    </row>
    <row r="9">
      <c r="A9" s="82" t="n">
        <v>8</v>
      </c>
      <c r="B9" s="75" t="n">
        <v>81620169</v>
      </c>
      <c r="C9" s="62" t="inlineStr">
        <is>
          <t>AMSMV008</t>
        </is>
      </c>
      <c r="D9" s="62" t="inlineStr">
        <is>
          <t>Ammonia</t>
        </is>
      </c>
      <c r="E9" s="62" t="n">
        <v>15</v>
      </c>
      <c r="F9" s="62" t="inlineStr">
        <is>
          <t>MOV</t>
        </is>
      </c>
      <c r="G9" s="62" t="inlineStr">
        <is>
          <t>DANAIS</t>
        </is>
      </c>
      <c r="H9" s="456" t="inlineStr">
        <is>
          <t>MOTOR OPERATED</t>
        </is>
      </c>
      <c r="I9" s="69" t="n"/>
      <c r="J9" s="129" t="inlineStr">
        <is>
          <t>M237-15MOV-012A</t>
        </is>
      </c>
      <c r="K9" s="69" t="n"/>
      <c r="L9" s="69" t="n"/>
      <c r="M9" s="62" t="inlineStr">
        <is>
          <t>Gear Box Servicing &amp; Valve Packing Replacement</t>
        </is>
      </c>
      <c r="N9" s="69" t="inlineStr">
        <is>
          <t>LENOG_PCFSSB_RR_008</t>
        </is>
      </c>
      <c r="O9" s="69" t="inlineStr">
        <is>
          <t>LENOG_PCFSSB_CR_008</t>
        </is>
      </c>
      <c r="P9" s="69" t="inlineStr">
        <is>
          <t>LENOG_PCFSSB_FR_008</t>
        </is>
      </c>
      <c r="Q9" s="69" t="inlineStr">
        <is>
          <t>LENOG_PCFSSB_SR_008</t>
        </is>
      </c>
      <c r="R9" s="69" t="n"/>
      <c r="S9" s="69" t="n"/>
      <c r="T9" s="69" t="n"/>
      <c r="U9" s="69" t="n"/>
      <c r="V9" s="69" t="n"/>
      <c r="W9" s="62" t="n">
        <v>28</v>
      </c>
      <c r="X9" s="62" t="n">
        <v>28</v>
      </c>
      <c r="Y9" s="456" t="n"/>
      <c r="Z9" s="69" t="n"/>
      <c r="AA9" s="62" t="n">
        <v>150</v>
      </c>
      <c r="AB9" s="62" t="n">
        <v>150</v>
      </c>
      <c r="AC9" s="73" t="n"/>
      <c r="AD9" s="69" t="n"/>
      <c r="AE9" s="69" t="n"/>
      <c r="AF9" s="73" t="n"/>
      <c r="AG9" s="69" t="n"/>
      <c r="AH9" s="85" t="n"/>
    </row>
    <row r="10">
      <c r="A10" s="82" t="n">
        <v>9</v>
      </c>
      <c r="B10" s="75" t="n">
        <v>81620170</v>
      </c>
      <c r="C10" s="62" t="inlineStr">
        <is>
          <t>AMSMV009</t>
        </is>
      </c>
      <c r="D10" s="62" t="inlineStr">
        <is>
          <t>Ammonia</t>
        </is>
      </c>
      <c r="E10" s="62" t="n">
        <v>15</v>
      </c>
      <c r="F10" s="62" t="inlineStr">
        <is>
          <t>MOV</t>
        </is>
      </c>
      <c r="G10" s="62" t="inlineStr">
        <is>
          <t>DANAIS</t>
        </is>
      </c>
      <c r="H10" s="456" t="inlineStr">
        <is>
          <t>MOTOR OPERATED</t>
        </is>
      </c>
      <c r="I10" s="69" t="n"/>
      <c r="J10" s="129" t="inlineStr">
        <is>
          <t>M237-15MOV-012B</t>
        </is>
      </c>
      <c r="K10" s="69" t="n"/>
      <c r="L10" s="69" t="n"/>
      <c r="M10" s="62" t="inlineStr">
        <is>
          <t>Gear Box Servicing &amp; Valve Packing Replacement</t>
        </is>
      </c>
      <c r="N10" s="69" t="inlineStr">
        <is>
          <t>LENOG_PCFSSB_RR_009</t>
        </is>
      </c>
      <c r="O10" s="69" t="inlineStr">
        <is>
          <t>LENOG_PCFSSB_CR_009</t>
        </is>
      </c>
      <c r="P10" s="69" t="inlineStr">
        <is>
          <t>LENOG_PCFSSB_FR_009</t>
        </is>
      </c>
      <c r="Q10" s="69" t="inlineStr">
        <is>
          <t>LENOG_PCFSSB_SR_009</t>
        </is>
      </c>
      <c r="R10" s="69" t="n"/>
      <c r="S10" s="69" t="n"/>
      <c r="T10" s="69" t="n"/>
      <c r="U10" s="69" t="n"/>
      <c r="V10" s="69" t="n"/>
      <c r="W10" s="62" t="n">
        <v>28</v>
      </c>
      <c r="X10" s="62" t="n">
        <v>28</v>
      </c>
      <c r="Y10" s="456" t="n"/>
      <c r="Z10" s="69" t="n"/>
      <c r="AA10" s="62" t="n">
        <v>150</v>
      </c>
      <c r="AB10" s="62" t="n">
        <v>150</v>
      </c>
      <c r="AC10" s="73" t="n"/>
      <c r="AD10" s="69" t="n"/>
      <c r="AE10" s="69" t="n"/>
      <c r="AF10" s="73" t="n"/>
      <c r="AG10" s="69" t="n"/>
      <c r="AH10" s="85" t="n"/>
    </row>
    <row r="11">
      <c r="A11" s="82" t="n">
        <v>10</v>
      </c>
      <c r="B11" s="75" t="n">
        <v>81620171</v>
      </c>
      <c r="C11" s="62" t="inlineStr">
        <is>
          <t>AMSMV010</t>
        </is>
      </c>
      <c r="D11" s="62" t="inlineStr">
        <is>
          <t>Ammonia</t>
        </is>
      </c>
      <c r="E11" s="62" t="n">
        <v>15</v>
      </c>
      <c r="F11" s="62" t="inlineStr">
        <is>
          <t>MOV</t>
        </is>
      </c>
      <c r="G11" s="62" t="inlineStr">
        <is>
          <t>DANAIS</t>
        </is>
      </c>
      <c r="H11" s="456" t="inlineStr">
        <is>
          <t>MOTOR OPERATED</t>
        </is>
      </c>
      <c r="I11" s="69" t="n"/>
      <c r="J11" s="129" t="inlineStr">
        <is>
          <t>M237-15MOV-012C</t>
        </is>
      </c>
      <c r="K11" s="69" t="n"/>
      <c r="L11" s="69" t="n"/>
      <c r="M11" s="62" t="inlineStr">
        <is>
          <t>Gear Box Servicing &amp; Valve Packing Replacement</t>
        </is>
      </c>
      <c r="N11" s="69" t="inlineStr">
        <is>
          <t>LENOG_PCFSSB_RR_010</t>
        </is>
      </c>
      <c r="O11" s="69" t="inlineStr">
        <is>
          <t>LENOG_PCFSSB_CR_010</t>
        </is>
      </c>
      <c r="P11" s="69" t="inlineStr">
        <is>
          <t>LENOG_PCFSSB_FR_010</t>
        </is>
      </c>
      <c r="Q11" s="69" t="inlineStr">
        <is>
          <t>LENOG_PCFSSB_SR_010</t>
        </is>
      </c>
      <c r="R11" s="69" t="n"/>
      <c r="S11" s="69" t="n"/>
      <c r="T11" s="69" t="n"/>
      <c r="U11" s="69" t="n"/>
      <c r="V11" s="69" t="n"/>
      <c r="W11" s="62" t="n">
        <v>28</v>
      </c>
      <c r="X11" s="62" t="n">
        <v>28</v>
      </c>
      <c r="Y11" s="456" t="n"/>
      <c r="Z11" s="69" t="n"/>
      <c r="AA11" s="62" t="n">
        <v>150</v>
      </c>
      <c r="AB11" s="62" t="n">
        <v>150</v>
      </c>
      <c r="AC11" s="73" t="n"/>
      <c r="AD11" s="69" t="n"/>
      <c r="AE11" s="69" t="n"/>
      <c r="AF11" s="73" t="n"/>
      <c r="AG11" s="69" t="n"/>
      <c r="AH11" s="85" t="n"/>
    </row>
    <row r="12">
      <c r="A12" s="82" t="n">
        <v>11</v>
      </c>
      <c r="B12" s="75" t="n">
        <v>81620172</v>
      </c>
      <c r="C12" s="62" t="inlineStr">
        <is>
          <t>AMSMV011</t>
        </is>
      </c>
      <c r="D12" s="62" t="inlineStr">
        <is>
          <t>Ammonia</t>
        </is>
      </c>
      <c r="E12" s="62" t="n">
        <v>16</v>
      </c>
      <c r="F12" s="62" t="inlineStr">
        <is>
          <t>MOV</t>
        </is>
      </c>
      <c r="G12" s="62" t="inlineStr">
        <is>
          <t>SAMBO</t>
        </is>
      </c>
      <c r="H12" s="456" t="inlineStr">
        <is>
          <t>MOTOR OPERATED</t>
        </is>
      </c>
      <c r="I12" s="69" t="n"/>
      <c r="J12" s="129" t="inlineStr">
        <is>
          <t>M237-16MOV-002</t>
        </is>
      </c>
      <c r="K12" s="69" t="n"/>
      <c r="L12" s="69" t="n"/>
      <c r="M12" s="62" t="inlineStr">
        <is>
          <t>Gear Box Servicing &amp; Valve Packing Replacement</t>
        </is>
      </c>
      <c r="N12" s="69" t="inlineStr">
        <is>
          <t>LENOG_PCFSSB_RR_011</t>
        </is>
      </c>
      <c r="O12" s="69" t="inlineStr">
        <is>
          <t>LENOG_PCFSSB_CR_011</t>
        </is>
      </c>
      <c r="P12" s="69" t="inlineStr">
        <is>
          <t>LENOG_PCFSSB_FR_011</t>
        </is>
      </c>
      <c r="Q12" s="69" t="inlineStr">
        <is>
          <t>LENOG_PCFSSB_SR_011</t>
        </is>
      </c>
      <c r="R12" s="69" t="n"/>
      <c r="S12" s="69" t="n"/>
      <c r="T12" s="69" t="n"/>
      <c r="U12" s="69" t="n"/>
      <c r="V12" s="69" t="n"/>
      <c r="W12" s="62" t="n">
        <v>20</v>
      </c>
      <c r="X12" s="62" t="n">
        <v>20</v>
      </c>
      <c r="Y12" s="456" t="n"/>
      <c r="Z12" s="69" t="n"/>
      <c r="AA12" s="62" t="n">
        <v>2500</v>
      </c>
      <c r="AB12" s="62" t="n">
        <v>2500</v>
      </c>
      <c r="AC12" s="73" t="n"/>
      <c r="AD12" s="69" t="n"/>
      <c r="AE12" s="69" t="n"/>
      <c r="AF12" s="73" t="n"/>
      <c r="AG12" s="69" t="n"/>
      <c r="AH12" s="85" t="n"/>
    </row>
    <row r="13">
      <c r="A13" s="82" t="n">
        <v>12</v>
      </c>
      <c r="B13" s="75" t="n">
        <v>81620174</v>
      </c>
      <c r="C13" s="62" t="inlineStr">
        <is>
          <t>AMSMV012</t>
        </is>
      </c>
      <c r="D13" s="62" t="inlineStr">
        <is>
          <t>Ammonia</t>
        </is>
      </c>
      <c r="E13" s="62" t="n">
        <v>16</v>
      </c>
      <c r="F13" s="62" t="inlineStr">
        <is>
          <t>MOV</t>
        </is>
      </c>
      <c r="G13" s="62" t="inlineStr">
        <is>
          <t>SAMBO</t>
        </is>
      </c>
      <c r="H13" s="456" t="inlineStr">
        <is>
          <t>MOTOR OPERATED</t>
        </is>
      </c>
      <c r="I13" s="69" t="n"/>
      <c r="J13" s="129" t="inlineStr">
        <is>
          <t>M237-16MOV-003</t>
        </is>
      </c>
      <c r="K13" s="69" t="n"/>
      <c r="L13" s="69" t="n"/>
      <c r="M13" s="62" t="inlineStr">
        <is>
          <t>Gear Box Servicing &amp; Valve Packing Replacement</t>
        </is>
      </c>
      <c r="N13" s="69" t="inlineStr">
        <is>
          <t>LENOG_PCFSSB_RR_012</t>
        </is>
      </c>
      <c r="O13" s="69" t="inlineStr">
        <is>
          <t>LENOG_PCFSSB_CR_012</t>
        </is>
      </c>
      <c r="P13" s="69" t="inlineStr">
        <is>
          <t>LENOG_PCFSSB_FR_012</t>
        </is>
      </c>
      <c r="Q13" s="69" t="inlineStr">
        <is>
          <t>LENOG_PCFSSB_SR_012</t>
        </is>
      </c>
      <c r="R13" s="69" t="n"/>
      <c r="S13" s="69" t="n"/>
      <c r="T13" s="69" t="n"/>
      <c r="U13" s="69" t="n"/>
      <c r="V13" s="69" t="n"/>
      <c r="W13" s="62" t="n">
        <v>20</v>
      </c>
      <c r="X13" s="62" t="n">
        <v>20</v>
      </c>
      <c r="Y13" s="456" t="n"/>
      <c r="Z13" s="69" t="n"/>
      <c r="AA13" s="62" t="n">
        <v>600</v>
      </c>
      <c r="AB13" s="62" t="n">
        <v>600</v>
      </c>
      <c r="AC13" s="73" t="n"/>
      <c r="AD13" s="69" t="n"/>
      <c r="AE13" s="69" t="n"/>
      <c r="AF13" s="73" t="n"/>
      <c r="AG13" s="69" t="n"/>
      <c r="AH13" s="85" t="n"/>
    </row>
    <row r="14">
      <c r="A14" s="82" t="n">
        <v>13</v>
      </c>
      <c r="B14" s="75" t="n">
        <v>81620175</v>
      </c>
      <c r="C14" s="62" t="inlineStr">
        <is>
          <t>AMSMV013</t>
        </is>
      </c>
      <c r="D14" s="62" t="inlineStr">
        <is>
          <t>Ammonia</t>
        </is>
      </c>
      <c r="E14" s="62" t="n">
        <v>17</v>
      </c>
      <c r="F14" s="62" t="inlineStr">
        <is>
          <t>MOV</t>
        </is>
      </c>
      <c r="G14" s="62" t="inlineStr">
        <is>
          <t>DANAIS</t>
        </is>
      </c>
      <c r="H14" s="456" t="inlineStr">
        <is>
          <t>MOTOR OPERATED</t>
        </is>
      </c>
      <c r="I14" s="69" t="n"/>
      <c r="J14" s="129" t="inlineStr">
        <is>
          <t>M237-17MOV-002</t>
        </is>
      </c>
      <c r="K14" s="69" t="n"/>
      <c r="L14" s="69" t="n"/>
      <c r="M14" s="62" t="inlineStr">
        <is>
          <t>Gear Box Servicing &amp; Valve Packing Replacement</t>
        </is>
      </c>
      <c r="N14" s="69" t="inlineStr">
        <is>
          <t>LENOG_PCFSSB_RR_013</t>
        </is>
      </c>
      <c r="O14" s="69" t="inlineStr">
        <is>
          <t>LENOG_PCFSSB_CR_013</t>
        </is>
      </c>
      <c r="P14" s="69" t="inlineStr">
        <is>
          <t>LENOG_PCFSSB_FR_013</t>
        </is>
      </c>
      <c r="Q14" s="69" t="inlineStr">
        <is>
          <t>LENOG_PCFSSB_SR_013</t>
        </is>
      </c>
      <c r="R14" s="69" t="n"/>
      <c r="S14" s="69" t="n"/>
      <c r="T14" s="69" t="n"/>
      <c r="U14" s="69" t="n"/>
      <c r="V14" s="69" t="n"/>
      <c r="W14" s="62" t="n">
        <v>24</v>
      </c>
      <c r="X14" s="62" t="n">
        <v>24</v>
      </c>
      <c r="Y14" s="456" t="n"/>
      <c r="Z14" s="69" t="n"/>
      <c r="AA14" s="62" t="n">
        <v>300</v>
      </c>
      <c r="AB14" s="62" t="n">
        <v>300</v>
      </c>
      <c r="AC14" s="73" t="n"/>
      <c r="AD14" s="69" t="n"/>
      <c r="AE14" s="69" t="n"/>
      <c r="AF14" s="73" t="n"/>
      <c r="AG14" s="69" t="n"/>
      <c r="AH14" s="85" t="n"/>
    </row>
    <row r="15">
      <c r="A15" s="82" t="n">
        <v>14</v>
      </c>
      <c r="B15" s="75" t="n">
        <v>81620176</v>
      </c>
      <c r="C15" s="62" t="inlineStr">
        <is>
          <t>AMSMV014</t>
        </is>
      </c>
      <c r="D15" s="62" t="inlineStr">
        <is>
          <t>Ammonia</t>
        </is>
      </c>
      <c r="E15" s="62" t="n">
        <v>17</v>
      </c>
      <c r="F15" s="62" t="inlineStr">
        <is>
          <t>MOV</t>
        </is>
      </c>
      <c r="G15" s="62" t="inlineStr">
        <is>
          <t>SAMBO</t>
        </is>
      </c>
      <c r="H15" s="456" t="inlineStr">
        <is>
          <t>MOTOR OPERATED</t>
        </is>
      </c>
      <c r="I15" s="69" t="n"/>
      <c r="J15" s="129" t="inlineStr">
        <is>
          <t>M237-17MOV-003</t>
        </is>
      </c>
      <c r="K15" s="69" t="n"/>
      <c r="L15" s="69" t="n"/>
      <c r="M15" s="62" t="inlineStr">
        <is>
          <t>Gear Box Servicing &amp; Valve Packing Replacement</t>
        </is>
      </c>
      <c r="N15" s="69" t="inlineStr">
        <is>
          <t>LENOG_PCFSSB_RR_014</t>
        </is>
      </c>
      <c r="O15" s="69" t="inlineStr">
        <is>
          <t>LENOG_PCFSSB_CR_014</t>
        </is>
      </c>
      <c r="P15" s="69" t="inlineStr">
        <is>
          <t>LENOG_PCFSSB_FR_014</t>
        </is>
      </c>
      <c r="Q15" s="69" t="inlineStr">
        <is>
          <t>LENOG_PCFSSB_SR_014</t>
        </is>
      </c>
      <c r="R15" s="69" t="n"/>
      <c r="S15" s="69" t="n"/>
      <c r="T15" s="69" t="n"/>
      <c r="U15" s="69" t="n"/>
      <c r="V15" s="69" t="n"/>
      <c r="W15" s="62" t="n">
        <v>20</v>
      </c>
      <c r="X15" s="62" t="n">
        <v>20</v>
      </c>
      <c r="Y15" s="456" t="n"/>
      <c r="Z15" s="69" t="n"/>
      <c r="AA15" s="62" t="n">
        <v>300</v>
      </c>
      <c r="AB15" s="62" t="n">
        <v>300</v>
      </c>
      <c r="AC15" s="73" t="n"/>
      <c r="AD15" s="69" t="n"/>
      <c r="AE15" s="69" t="n"/>
      <c r="AF15" s="73" t="n"/>
      <c r="AG15" s="69" t="n"/>
      <c r="AH15" s="85" t="n"/>
    </row>
    <row r="16">
      <c r="A16" s="82" t="n">
        <v>15</v>
      </c>
      <c r="B16" s="75" t="n">
        <v>81620177</v>
      </c>
      <c r="C16" s="62" t="inlineStr">
        <is>
          <t>AMSMV015</t>
        </is>
      </c>
      <c r="D16" s="62" t="inlineStr">
        <is>
          <t>Ammonia</t>
        </is>
      </c>
      <c r="E16" s="62" t="n">
        <v>19</v>
      </c>
      <c r="F16" s="62" t="inlineStr">
        <is>
          <t>MOV</t>
        </is>
      </c>
      <c r="G16" s="62" t="inlineStr">
        <is>
          <t>SAMBO</t>
        </is>
      </c>
      <c r="H16" s="456" t="inlineStr">
        <is>
          <t>MOTOR OPERATED</t>
        </is>
      </c>
      <c r="I16" s="69" t="n"/>
      <c r="J16" s="129" t="inlineStr">
        <is>
          <t>M237-19MOV-001</t>
        </is>
      </c>
      <c r="K16" s="69" t="n"/>
      <c r="L16" s="69" t="n"/>
      <c r="M16" s="62" t="inlineStr">
        <is>
          <t>Gear Box Servicing &amp; Valve Packing Replacement</t>
        </is>
      </c>
      <c r="N16" s="69" t="inlineStr">
        <is>
          <t>LENOG_PCFSSB_RR_015</t>
        </is>
      </c>
      <c r="O16" s="69" t="inlineStr">
        <is>
          <t>LENOG_PCFSSB_CR_015</t>
        </is>
      </c>
      <c r="P16" s="69" t="inlineStr">
        <is>
          <t>LENOG_PCFSSB_FR_015</t>
        </is>
      </c>
      <c r="Q16" s="69" t="inlineStr">
        <is>
          <t>LENOG_PCFSSB_SR_015</t>
        </is>
      </c>
      <c r="R16" s="69" t="n"/>
      <c r="S16" s="69" t="n"/>
      <c r="T16" s="69" t="n"/>
      <c r="U16" s="69" t="n"/>
      <c r="V16" s="69" t="n"/>
      <c r="W16" s="62" t="n">
        <v>16</v>
      </c>
      <c r="X16" s="62" t="n">
        <v>16</v>
      </c>
      <c r="Y16" s="456" t="n"/>
      <c r="Z16" s="69" t="n"/>
      <c r="AA16" s="62" t="n">
        <v>600</v>
      </c>
      <c r="AB16" s="62" t="n">
        <v>600</v>
      </c>
      <c r="AC16" s="73" t="n"/>
      <c r="AD16" s="69" t="n"/>
      <c r="AE16" s="69" t="n"/>
      <c r="AF16" s="73" t="n"/>
      <c r="AG16" s="69" t="n"/>
      <c r="AH16" s="85" t="n"/>
    </row>
    <row r="17">
      <c r="A17" s="82" t="n">
        <v>16</v>
      </c>
      <c r="B17" s="75" t="n">
        <v>81620178</v>
      </c>
      <c r="C17" s="62" t="inlineStr">
        <is>
          <t>AMSMV016</t>
        </is>
      </c>
      <c r="D17" s="62" t="inlineStr">
        <is>
          <t>Ammonia</t>
        </is>
      </c>
      <c r="E17" s="62" t="n">
        <v>19</v>
      </c>
      <c r="F17" s="62" t="inlineStr">
        <is>
          <t>MOV</t>
        </is>
      </c>
      <c r="G17" s="62" t="inlineStr">
        <is>
          <t>SAMBO</t>
        </is>
      </c>
      <c r="H17" s="456" t="inlineStr">
        <is>
          <t>MOTOR OPERATED</t>
        </is>
      </c>
      <c r="I17" s="69" t="n"/>
      <c r="J17" s="129" t="inlineStr">
        <is>
          <t>M237-19MOV-002</t>
        </is>
      </c>
      <c r="K17" s="69" t="n"/>
      <c r="L17" s="69" t="n"/>
      <c r="M17" s="62" t="inlineStr">
        <is>
          <t>Gear Box Servicing &amp; Valve Packing Replacement</t>
        </is>
      </c>
      <c r="N17" s="69" t="inlineStr">
        <is>
          <t>LENOG_PCFSSB_RR_016</t>
        </is>
      </c>
      <c r="O17" s="69" t="inlineStr">
        <is>
          <t>LENOG_PCFSSB_CR_016</t>
        </is>
      </c>
      <c r="P17" s="69" t="inlineStr">
        <is>
          <t>LENOG_PCFSSB_FR_016</t>
        </is>
      </c>
      <c r="Q17" s="69" t="inlineStr">
        <is>
          <t>LENOG_PCFSSB_SR_016</t>
        </is>
      </c>
      <c r="R17" s="69" t="n"/>
      <c r="S17" s="69" t="n"/>
      <c r="T17" s="69" t="n"/>
      <c r="U17" s="69" t="n"/>
      <c r="V17" s="69" t="n"/>
      <c r="W17" s="62" t="n">
        <v>10</v>
      </c>
      <c r="X17" s="62" t="n">
        <v>10</v>
      </c>
      <c r="Y17" s="456" t="n"/>
      <c r="Z17" s="69" t="n"/>
      <c r="AA17" s="62" t="n">
        <v>2500</v>
      </c>
      <c r="AB17" s="62" t="n">
        <v>2500</v>
      </c>
      <c r="AC17" s="73" t="n"/>
      <c r="AD17" s="69" t="n"/>
      <c r="AE17" s="69" t="n"/>
      <c r="AF17" s="73" t="n"/>
      <c r="AG17" s="69" t="n"/>
      <c r="AH17" s="85" t="n"/>
    </row>
    <row r="18">
      <c r="A18" s="82" t="n">
        <v>17</v>
      </c>
      <c r="B18" s="75" t="n">
        <v>81620179</v>
      </c>
      <c r="C18" s="62" t="inlineStr">
        <is>
          <t>AMSMV017</t>
        </is>
      </c>
      <c r="D18" s="62" t="inlineStr">
        <is>
          <t>Ammonia</t>
        </is>
      </c>
      <c r="E18" s="62" t="n">
        <v>31</v>
      </c>
      <c r="F18" s="62" t="inlineStr">
        <is>
          <t>MOV</t>
        </is>
      </c>
      <c r="G18" s="62" t="inlineStr">
        <is>
          <t>SAMBO</t>
        </is>
      </c>
      <c r="H18" s="456" t="inlineStr">
        <is>
          <t>MOTOR OPERATED</t>
        </is>
      </c>
      <c r="I18" s="69" t="n"/>
      <c r="J18" s="129" t="inlineStr">
        <is>
          <t>M237-31MOV-001</t>
        </is>
      </c>
      <c r="K18" s="69" t="n"/>
      <c r="L18" s="69" t="n"/>
      <c r="M18" s="62" t="inlineStr">
        <is>
          <t>Gear Box Servicing &amp; Valve Packing Replacement</t>
        </is>
      </c>
      <c r="N18" s="69" t="inlineStr">
        <is>
          <t>LENOG_PCFSSB_RR_017</t>
        </is>
      </c>
      <c r="O18" s="69" t="inlineStr">
        <is>
          <t>LENOG_PCFSSB_CR_017</t>
        </is>
      </c>
      <c r="P18" s="69" t="inlineStr">
        <is>
          <t>LENOG_PCFSSB_FR_017</t>
        </is>
      </c>
      <c r="Q18" s="69" t="inlineStr">
        <is>
          <t>LENOG_PCFSSB_SR_017</t>
        </is>
      </c>
      <c r="R18" s="69" t="n"/>
      <c r="S18" s="69" t="n"/>
      <c r="T18" s="69" t="n"/>
      <c r="U18" s="69" t="n"/>
      <c r="V18" s="69" t="n"/>
      <c r="W18" s="62" t="n">
        <v>12</v>
      </c>
      <c r="X18" s="62" t="n">
        <v>12</v>
      </c>
      <c r="Y18" s="456" t="n"/>
      <c r="Z18" s="69" t="n"/>
      <c r="AA18" s="62" t="n">
        <v>2500</v>
      </c>
      <c r="AB18" s="62" t="n">
        <v>2500</v>
      </c>
      <c r="AC18" s="73" t="n"/>
      <c r="AD18" s="69" t="n"/>
      <c r="AE18" s="69" t="n"/>
      <c r="AF18" s="73" t="n"/>
      <c r="AG18" s="69" t="n"/>
      <c r="AH18" s="85" t="n"/>
    </row>
    <row r="19">
      <c r="A19" s="82" t="n">
        <v>18</v>
      </c>
      <c r="B19" s="75" t="n">
        <v>81620195</v>
      </c>
      <c r="C19" s="62" t="inlineStr">
        <is>
          <t>AMSMV018</t>
        </is>
      </c>
      <c r="D19" s="62" t="inlineStr">
        <is>
          <t>Ammonia</t>
        </is>
      </c>
      <c r="E19" s="62" t="n">
        <v>53</v>
      </c>
      <c r="F19" s="62" t="inlineStr">
        <is>
          <t>MOV</t>
        </is>
      </c>
      <c r="G19" s="62" t="inlineStr">
        <is>
          <t>SAMBO</t>
        </is>
      </c>
      <c r="H19" s="456" t="inlineStr">
        <is>
          <t>MOTOR OPERATED</t>
        </is>
      </c>
      <c r="I19" s="69" t="n"/>
      <c r="J19" s="129" t="inlineStr">
        <is>
          <t>M237-53MOV-111</t>
        </is>
      </c>
      <c r="K19" s="69" t="n"/>
      <c r="L19" s="69" t="n"/>
      <c r="M19" s="62" t="inlineStr">
        <is>
          <t>Gear Box Servicing &amp; Valve Packing Replacement</t>
        </is>
      </c>
      <c r="N19" s="69" t="inlineStr">
        <is>
          <t>LENOG_PCFSSB_RR_018</t>
        </is>
      </c>
      <c r="O19" s="69" t="inlineStr">
        <is>
          <t>LENOG_PCFSSB_CR_018</t>
        </is>
      </c>
      <c r="P19" s="69" t="inlineStr">
        <is>
          <t>LENOG_PCFSSB_FR_018</t>
        </is>
      </c>
      <c r="Q19" s="69" t="inlineStr">
        <is>
          <t>LENOG_PCFSSB_SR_018</t>
        </is>
      </c>
      <c r="R19" s="69" t="n"/>
      <c r="S19" s="69" t="n"/>
      <c r="T19" s="69" t="n"/>
      <c r="U19" s="69" t="n"/>
      <c r="V19" s="69" t="n"/>
      <c r="W19" s="62" t="n">
        <v>20</v>
      </c>
      <c r="X19" s="62" t="n">
        <v>20</v>
      </c>
      <c r="Y19" s="456" t="n"/>
      <c r="Z19" s="69" t="n"/>
      <c r="AA19" s="62" t="n">
        <v>2500</v>
      </c>
      <c r="AB19" s="62" t="n">
        <v>2500</v>
      </c>
      <c r="AC19" s="73" t="n"/>
      <c r="AD19" s="69" t="n"/>
      <c r="AE19" s="69" t="n"/>
      <c r="AF19" s="73" t="n"/>
      <c r="AG19" s="69" t="n"/>
      <c r="AH19" s="85" t="n"/>
    </row>
    <row r="20">
      <c r="A20" s="82" t="n">
        <v>19</v>
      </c>
      <c r="B20" s="75" t="n">
        <v>81620180</v>
      </c>
      <c r="C20" s="62" t="inlineStr">
        <is>
          <t>URSMV001</t>
        </is>
      </c>
      <c r="D20" s="62" t="inlineStr">
        <is>
          <t>Urea</t>
        </is>
      </c>
      <c r="E20" s="62" t="n">
        <v>32</v>
      </c>
      <c r="F20" s="62" t="inlineStr">
        <is>
          <t>MOV</t>
        </is>
      </c>
      <c r="G20" s="62" t="inlineStr">
        <is>
          <t>L&amp;T/ ROTORK</t>
        </is>
      </c>
      <c r="H20" s="456" t="inlineStr">
        <is>
          <t>MOTOR OPERATED</t>
        </is>
      </c>
      <c r="I20" s="69" t="n"/>
      <c r="J20" s="129" t="inlineStr">
        <is>
          <t>M237-32MOV-005A</t>
        </is>
      </c>
      <c r="K20" s="69" t="n"/>
      <c r="L20" s="69" t="n"/>
      <c r="M20" s="62" t="inlineStr">
        <is>
          <t>Gear Box Servicing &amp; Valve Packing Replacement</t>
        </is>
      </c>
      <c r="N20" s="69" t="inlineStr">
        <is>
          <t>LENOG_PCFSSB_RR_019</t>
        </is>
      </c>
      <c r="O20" s="69" t="inlineStr">
        <is>
          <t>LENOG_PCFSSB_CR_019</t>
        </is>
      </c>
      <c r="P20" s="69" t="inlineStr">
        <is>
          <t>LENOG_PCFSSB_FR_019</t>
        </is>
      </c>
      <c r="Q20" s="69" t="inlineStr">
        <is>
          <t>LENOG_PCFSSB_SR_019</t>
        </is>
      </c>
      <c r="R20" s="69" t="n"/>
      <c r="S20" s="69" t="n"/>
      <c r="T20" s="69" t="n"/>
      <c r="U20" s="69" t="n"/>
      <c r="V20" s="69" t="n"/>
      <c r="W20" s="62" t="n">
        <v>8</v>
      </c>
      <c r="X20" s="62" t="n">
        <v>8</v>
      </c>
      <c r="Y20" s="456" t="n"/>
      <c r="Z20" s="69" t="n"/>
      <c r="AA20" s="62" t="inlineStr">
        <is>
          <t>N/A</t>
        </is>
      </c>
      <c r="AB20" s="62" t="inlineStr">
        <is>
          <t>N/A</t>
        </is>
      </c>
      <c r="AC20" s="73" t="n"/>
      <c r="AD20" s="69" t="n"/>
      <c r="AE20" s="69" t="n"/>
      <c r="AF20" s="73" t="n"/>
      <c r="AG20" s="69" t="n"/>
      <c r="AH20" s="85" t="n"/>
    </row>
    <row r="21">
      <c r="A21" s="82" t="n">
        <v>20</v>
      </c>
      <c r="B21" s="75" t="n">
        <v>81620181</v>
      </c>
      <c r="C21" s="62" t="inlineStr">
        <is>
          <t>URSMV002</t>
        </is>
      </c>
      <c r="D21" s="62" t="inlineStr">
        <is>
          <t>Urea</t>
        </is>
      </c>
      <c r="E21" s="62" t="n">
        <v>32</v>
      </c>
      <c r="F21" s="62" t="inlineStr">
        <is>
          <t>MOV</t>
        </is>
      </c>
      <c r="G21" s="62" t="inlineStr">
        <is>
          <t>L&amp;T/ ROTORK</t>
        </is>
      </c>
      <c r="H21" s="456" t="inlineStr">
        <is>
          <t>MOTOR OPERATED</t>
        </is>
      </c>
      <c r="I21" s="69" t="n"/>
      <c r="J21" s="129" t="inlineStr">
        <is>
          <t>M237-32MOV-005B</t>
        </is>
      </c>
      <c r="K21" s="69" t="n"/>
      <c r="L21" s="69" t="n"/>
      <c r="M21" s="62" t="inlineStr">
        <is>
          <t>Gear Box Servicing &amp; Valve Packing Replacement</t>
        </is>
      </c>
      <c r="N21" s="69" t="inlineStr">
        <is>
          <t>LENOG_PCFSSB_RR_020</t>
        </is>
      </c>
      <c r="O21" s="69" t="inlineStr">
        <is>
          <t>LENOG_PCFSSB_CR_020</t>
        </is>
      </c>
      <c r="P21" s="69" t="inlineStr">
        <is>
          <t>LENOG_PCFSSB_FR_020</t>
        </is>
      </c>
      <c r="Q21" s="69" t="inlineStr">
        <is>
          <t>LENOG_PCFSSB_SR_020</t>
        </is>
      </c>
      <c r="R21" s="69" t="n"/>
      <c r="S21" s="69" t="n"/>
      <c r="T21" s="69" t="n"/>
      <c r="U21" s="69" t="n"/>
      <c r="V21" s="69" t="n"/>
      <c r="W21" s="62" t="n">
        <v>8</v>
      </c>
      <c r="X21" s="62" t="n">
        <v>8</v>
      </c>
      <c r="Y21" s="456" t="n"/>
      <c r="Z21" s="69" t="n"/>
      <c r="AA21" s="62" t="inlineStr">
        <is>
          <t>N/A</t>
        </is>
      </c>
      <c r="AB21" s="62" t="inlineStr">
        <is>
          <t>N/A</t>
        </is>
      </c>
      <c r="AC21" s="73" t="n"/>
      <c r="AD21" s="69" t="n"/>
      <c r="AE21" s="69" t="n"/>
      <c r="AF21" s="73" t="n"/>
      <c r="AG21" s="69" t="n"/>
      <c r="AH21" s="85" t="n"/>
    </row>
    <row r="22">
      <c r="A22" s="82" t="n">
        <v>21</v>
      </c>
      <c r="B22" s="75" t="n">
        <v>81620182</v>
      </c>
      <c r="C22" s="62" t="inlineStr">
        <is>
          <t>URSMV003</t>
        </is>
      </c>
      <c r="D22" s="62" t="inlineStr">
        <is>
          <t>Urea</t>
        </is>
      </c>
      <c r="E22" s="62" t="n">
        <v>32</v>
      </c>
      <c r="F22" s="62" t="inlineStr">
        <is>
          <t>MOV</t>
        </is>
      </c>
      <c r="G22" s="62" t="inlineStr">
        <is>
          <t>PARCOL</t>
        </is>
      </c>
      <c r="H22" s="456" t="inlineStr">
        <is>
          <t>MOTOR OPERATED</t>
        </is>
      </c>
      <c r="I22" s="69" t="n"/>
      <c r="J22" s="129" t="inlineStr">
        <is>
          <t>M237-32MOV-007A</t>
        </is>
      </c>
      <c r="K22" s="69" t="n"/>
      <c r="L22" s="69" t="n"/>
      <c r="M22" s="62" t="inlineStr">
        <is>
          <t>Gear Box Servicing &amp; Valve Packing Replacement</t>
        </is>
      </c>
      <c r="N22" s="69" t="inlineStr">
        <is>
          <t>LENOG_PCFSSB_RR_021</t>
        </is>
      </c>
      <c r="O22" s="69" t="inlineStr">
        <is>
          <t>LENOG_PCFSSB_CR_021</t>
        </is>
      </c>
      <c r="P22" s="69" t="inlineStr">
        <is>
          <t>LENOG_PCFSSB_FR_021</t>
        </is>
      </c>
      <c r="Q22" s="69" t="inlineStr">
        <is>
          <t>LENOG_PCFSSB_SR_021</t>
        </is>
      </c>
      <c r="R22" s="69" t="n"/>
      <c r="S22" s="69" t="n"/>
      <c r="T22" s="69" t="n"/>
      <c r="U22" s="69" t="n"/>
      <c r="V22" s="69" t="n"/>
      <c r="W22" s="62" t="n">
        <v>8</v>
      </c>
      <c r="X22" s="62" t="n">
        <v>8</v>
      </c>
      <c r="Y22" s="456" t="n"/>
      <c r="Z22" s="69" t="n"/>
      <c r="AA22" s="62" t="inlineStr">
        <is>
          <t>N/A</t>
        </is>
      </c>
      <c r="AB22" s="62" t="inlineStr">
        <is>
          <t>N/A</t>
        </is>
      </c>
      <c r="AC22" s="73" t="n"/>
      <c r="AD22" s="69" t="n"/>
      <c r="AE22" s="69" t="n"/>
      <c r="AF22" s="73" t="n"/>
      <c r="AG22" s="69" t="n"/>
      <c r="AH22" s="85" t="n"/>
    </row>
    <row r="23">
      <c r="A23" s="82" t="n">
        <v>22</v>
      </c>
      <c r="B23" s="75" t="n">
        <v>81620183</v>
      </c>
      <c r="C23" s="62" t="inlineStr">
        <is>
          <t>URSMV004</t>
        </is>
      </c>
      <c r="D23" s="62" t="inlineStr">
        <is>
          <t>Urea</t>
        </is>
      </c>
      <c r="E23" s="62" t="n">
        <v>32</v>
      </c>
      <c r="F23" s="62" t="inlineStr">
        <is>
          <t>MOV</t>
        </is>
      </c>
      <c r="G23" s="62" t="inlineStr">
        <is>
          <t>PARCOL</t>
        </is>
      </c>
      <c r="H23" s="456" t="inlineStr">
        <is>
          <t>MOTOR OPERATED</t>
        </is>
      </c>
      <c r="I23" s="69" t="n"/>
      <c r="J23" s="129" t="inlineStr">
        <is>
          <t>M237-32MOV-007B</t>
        </is>
      </c>
      <c r="K23" s="69" t="n"/>
      <c r="L23" s="69" t="n"/>
      <c r="M23" s="62" t="inlineStr">
        <is>
          <t>Gear Box Servicing &amp; Valve Packing Replacement</t>
        </is>
      </c>
      <c r="N23" s="69" t="inlineStr">
        <is>
          <t>LENOG_PCFSSB_RR_022</t>
        </is>
      </c>
      <c r="O23" s="69" t="inlineStr">
        <is>
          <t>LENOG_PCFSSB_CR_022</t>
        </is>
      </c>
      <c r="P23" s="69" t="inlineStr">
        <is>
          <t>LENOG_PCFSSB_FR_022</t>
        </is>
      </c>
      <c r="Q23" s="69" t="inlineStr">
        <is>
          <t>LENOG_PCFSSB_SR_022</t>
        </is>
      </c>
      <c r="R23" s="69" t="n"/>
      <c r="S23" s="69" t="n"/>
      <c r="T23" s="69" t="n"/>
      <c r="U23" s="69" t="n"/>
      <c r="V23" s="69" t="n"/>
      <c r="W23" s="62" t="n">
        <v>8</v>
      </c>
      <c r="X23" s="62" t="n">
        <v>8</v>
      </c>
      <c r="Y23" s="456" t="n"/>
      <c r="Z23" s="69" t="n"/>
      <c r="AA23" s="62" t="inlineStr">
        <is>
          <t>N/A</t>
        </is>
      </c>
      <c r="AB23" s="62" t="inlineStr">
        <is>
          <t>N/A</t>
        </is>
      </c>
      <c r="AC23" s="73" t="n"/>
      <c r="AD23" s="69" t="n"/>
      <c r="AE23" s="69" t="n"/>
      <c r="AF23" s="73" t="n"/>
      <c r="AG23" s="69" t="n"/>
      <c r="AH23" s="85" t="n"/>
    </row>
    <row r="24">
      <c r="A24" s="82" t="n">
        <v>23</v>
      </c>
      <c r="B24" s="75" t="n">
        <v>81620184</v>
      </c>
      <c r="C24" s="62" t="inlineStr">
        <is>
          <t>URSMV005</t>
        </is>
      </c>
      <c r="D24" s="62" t="inlineStr">
        <is>
          <t>Urea</t>
        </is>
      </c>
      <c r="E24" s="62" t="n">
        <v>32</v>
      </c>
      <c r="F24" s="62" t="inlineStr">
        <is>
          <t>MOV</t>
        </is>
      </c>
      <c r="G24" s="62" t="inlineStr">
        <is>
          <t>L&amp;T/ ROTORK</t>
        </is>
      </c>
      <c r="H24" s="456" t="inlineStr">
        <is>
          <t>MOTOR OPERATED</t>
        </is>
      </c>
      <c r="I24" s="69" t="n"/>
      <c r="J24" s="129" t="inlineStr">
        <is>
          <t>M237-32MOV-008</t>
        </is>
      </c>
      <c r="K24" s="69" t="n"/>
      <c r="L24" s="69" t="n"/>
      <c r="M24" s="62" t="inlineStr">
        <is>
          <t>Gear Box Servicing &amp; Valve Packing Replacement</t>
        </is>
      </c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2" t="n">
        <v>2</v>
      </c>
      <c r="X24" s="62" t="n">
        <v>2</v>
      </c>
      <c r="Y24" s="456" t="n"/>
      <c r="Z24" s="69" t="n"/>
      <c r="AA24" s="62" t="inlineStr">
        <is>
          <t>N/A</t>
        </is>
      </c>
      <c r="AB24" s="62" t="inlineStr">
        <is>
          <t>N/A</t>
        </is>
      </c>
      <c r="AC24" s="73" t="n"/>
      <c r="AD24" s="69" t="n"/>
      <c r="AE24" s="69" t="n"/>
      <c r="AF24" s="73" t="n"/>
      <c r="AG24" s="69" t="n"/>
      <c r="AH24" s="85" t="n"/>
    </row>
    <row r="25">
      <c r="A25" s="82" t="n">
        <v>24</v>
      </c>
      <c r="B25" s="75" t="n">
        <v>81620186</v>
      </c>
      <c r="C25" s="62" t="inlineStr">
        <is>
          <t>URSMV007</t>
        </is>
      </c>
      <c r="D25" s="62" t="inlineStr">
        <is>
          <t>Urea</t>
        </is>
      </c>
      <c r="E25" s="62" t="n">
        <v>33</v>
      </c>
      <c r="F25" s="62" t="inlineStr">
        <is>
          <t>MOV</t>
        </is>
      </c>
      <c r="G25" s="62" t="inlineStr">
        <is>
          <t>PARCOL</t>
        </is>
      </c>
      <c r="H25" s="456" t="inlineStr">
        <is>
          <t>MOTOR OPERATED</t>
        </is>
      </c>
      <c r="I25" s="69" t="n"/>
      <c r="J25" s="129" t="inlineStr">
        <is>
          <t>M237-33MOV-002</t>
        </is>
      </c>
      <c r="K25" s="69" t="n"/>
      <c r="L25" s="69" t="n"/>
      <c r="M25" s="62" t="inlineStr">
        <is>
          <t>Gear Box Servicing &amp; Valve Packing Replacement</t>
        </is>
      </c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2" t="n">
        <v>8</v>
      </c>
      <c r="X25" s="62" t="n">
        <v>8</v>
      </c>
      <c r="Y25" s="456" t="n"/>
      <c r="Z25" s="69" t="n"/>
      <c r="AA25" s="62" t="inlineStr">
        <is>
          <t>N/A</t>
        </is>
      </c>
      <c r="AB25" s="62" t="inlineStr">
        <is>
          <t>N/A</t>
        </is>
      </c>
      <c r="AC25" s="73" t="n"/>
      <c r="AD25" s="69" t="n"/>
      <c r="AE25" s="69" t="n"/>
      <c r="AF25" s="73" t="n"/>
      <c r="AG25" s="69" t="n"/>
      <c r="AH25" s="85" t="n"/>
    </row>
    <row r="26">
      <c r="A26" s="82" t="n">
        <v>25</v>
      </c>
      <c r="B26" s="75" t="n">
        <v>81620187</v>
      </c>
      <c r="C26" s="62" t="inlineStr">
        <is>
          <t>URSMV008</t>
        </is>
      </c>
      <c r="D26" s="62" t="inlineStr">
        <is>
          <t>Urea</t>
        </is>
      </c>
      <c r="E26" s="62" t="n">
        <v>33</v>
      </c>
      <c r="F26" s="62" t="inlineStr">
        <is>
          <t>MOV</t>
        </is>
      </c>
      <c r="G26" s="62" t="inlineStr">
        <is>
          <t>PARCOL</t>
        </is>
      </c>
      <c r="H26" s="456" t="inlineStr">
        <is>
          <t>MOTOR OPERATED</t>
        </is>
      </c>
      <c r="I26" s="69" t="n"/>
      <c r="J26" s="129" t="inlineStr">
        <is>
          <t>M237-33MOV-003</t>
        </is>
      </c>
      <c r="K26" s="69" t="n"/>
      <c r="L26" s="69" t="n"/>
      <c r="M26" s="62" t="inlineStr">
        <is>
          <t>Gear Box Servicing &amp; Valve Packing Replacement</t>
        </is>
      </c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2" t="n">
        <v>8</v>
      </c>
      <c r="X26" s="62" t="n">
        <v>8</v>
      </c>
      <c r="Y26" s="456" t="n"/>
      <c r="Z26" s="69" t="n"/>
      <c r="AA26" s="62" t="inlineStr">
        <is>
          <t>N/A</t>
        </is>
      </c>
      <c r="AB26" s="62" t="inlineStr">
        <is>
          <t>N/A</t>
        </is>
      </c>
      <c r="AC26" s="73" t="n"/>
      <c r="AD26" s="69" t="n"/>
      <c r="AE26" s="69" t="n"/>
      <c r="AF26" s="73" t="n"/>
      <c r="AG26" s="69" t="n"/>
      <c r="AH26" s="85" t="n"/>
    </row>
    <row r="27">
      <c r="A27" s="82" t="n">
        <v>26</v>
      </c>
      <c r="B27" s="75" t="n">
        <v>81620188</v>
      </c>
      <c r="C27" s="62" t="inlineStr">
        <is>
          <t>URSMV009</t>
        </is>
      </c>
      <c r="D27" s="62" t="inlineStr">
        <is>
          <t>Urea</t>
        </is>
      </c>
      <c r="E27" s="62" t="n">
        <v>33</v>
      </c>
      <c r="F27" s="62" t="inlineStr">
        <is>
          <t>MOV</t>
        </is>
      </c>
      <c r="G27" s="62" t="inlineStr">
        <is>
          <t>PARCOL</t>
        </is>
      </c>
      <c r="H27" s="456" t="inlineStr">
        <is>
          <t>MOTOR OPERATED</t>
        </is>
      </c>
      <c r="I27" s="69" t="n"/>
      <c r="J27" s="129" t="inlineStr">
        <is>
          <t>M237-33MOV-004</t>
        </is>
      </c>
      <c r="K27" s="69" t="n"/>
      <c r="L27" s="69" t="n"/>
      <c r="M27" s="62" t="inlineStr">
        <is>
          <t>Gear Box Servicing &amp; Valve Packing Replacement</t>
        </is>
      </c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2" t="n">
        <v>8</v>
      </c>
      <c r="X27" s="62" t="n">
        <v>8</v>
      </c>
      <c r="Y27" s="456" t="n"/>
      <c r="Z27" s="69" t="n"/>
      <c r="AA27" s="62" t="inlineStr">
        <is>
          <t>N/A</t>
        </is>
      </c>
      <c r="AB27" s="62" t="inlineStr">
        <is>
          <t>N/A</t>
        </is>
      </c>
      <c r="AC27" s="73" t="n"/>
      <c r="AD27" s="69" t="n"/>
      <c r="AE27" s="69" t="n"/>
      <c r="AF27" s="73" t="n"/>
      <c r="AG27" s="69" t="n"/>
      <c r="AH27" s="85" t="n"/>
    </row>
    <row r="28">
      <c r="A28" s="82" t="n">
        <v>27</v>
      </c>
      <c r="B28" s="75" t="n">
        <v>81620189</v>
      </c>
      <c r="C28" s="62" t="inlineStr">
        <is>
          <t>UTSMV001</t>
        </is>
      </c>
      <c r="D28" s="62" t="inlineStr">
        <is>
          <t>Utility</t>
        </is>
      </c>
      <c r="E28" s="62" t="n">
        <v>48</v>
      </c>
      <c r="F28" s="62" t="inlineStr">
        <is>
          <t>MOV</t>
        </is>
      </c>
      <c r="G28" s="62" t="inlineStr">
        <is>
          <t>MACCHI/ AUMA</t>
        </is>
      </c>
      <c r="H28" s="456" t="inlineStr">
        <is>
          <t>MOTOR OPERATED</t>
        </is>
      </c>
      <c r="I28" s="69" t="n"/>
      <c r="J28" s="129" t="inlineStr">
        <is>
          <t>M237-48MOV-751</t>
        </is>
      </c>
      <c r="K28" s="69" t="n"/>
      <c r="L28" s="69" t="n"/>
      <c r="M28" s="62" t="inlineStr">
        <is>
          <t>Gear Box Servicing &amp; Valve Packing Replacement</t>
        </is>
      </c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2" t="n">
        <v>8</v>
      </c>
      <c r="X28" s="62" t="n">
        <v>8</v>
      </c>
      <c r="Y28" s="456" t="n"/>
      <c r="Z28" s="69" t="n"/>
      <c r="AA28" s="62" t="n">
        <v>600</v>
      </c>
      <c r="AB28" s="62" t="n">
        <v>600</v>
      </c>
      <c r="AC28" s="73" t="n"/>
      <c r="AD28" s="69" t="n"/>
      <c r="AE28" s="69" t="n"/>
      <c r="AF28" s="73" t="n"/>
      <c r="AG28" s="69" t="n"/>
      <c r="AH28" s="85" t="n"/>
    </row>
    <row r="29">
      <c r="A29" s="82" t="n">
        <v>28</v>
      </c>
      <c r="B29" s="75" t="n">
        <v>81620190</v>
      </c>
      <c r="C29" s="62" t="inlineStr">
        <is>
          <t>UTSMV002</t>
        </is>
      </c>
      <c r="D29" s="62" t="inlineStr">
        <is>
          <t>Utility</t>
        </is>
      </c>
      <c r="E29" s="62" t="n">
        <v>48</v>
      </c>
      <c r="F29" s="62" t="inlineStr">
        <is>
          <t>MOV</t>
        </is>
      </c>
      <c r="G29" s="62" t="inlineStr">
        <is>
          <t>MACCHI/ AUMA</t>
        </is>
      </c>
      <c r="H29" s="456" t="inlineStr">
        <is>
          <t>MOTOR OPERATED</t>
        </is>
      </c>
      <c r="I29" s="69" t="n"/>
      <c r="J29" s="129" t="inlineStr">
        <is>
          <t>M237-48MOV-851</t>
        </is>
      </c>
      <c r="K29" s="69" t="n"/>
      <c r="L29" s="69" t="n"/>
      <c r="M29" s="62" t="inlineStr">
        <is>
          <t>Gear Box Servicing &amp; Valve Packing Replacement</t>
        </is>
      </c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2" t="n">
        <v>8</v>
      </c>
      <c r="X29" s="62" t="n">
        <v>8</v>
      </c>
      <c r="Y29" s="456" t="n"/>
      <c r="Z29" s="69" t="n"/>
      <c r="AA29" s="62" t="n">
        <v>600</v>
      </c>
      <c r="AB29" s="62" t="n">
        <v>600</v>
      </c>
      <c r="AC29" s="73" t="n"/>
      <c r="AD29" s="69" t="n"/>
      <c r="AE29" s="69" t="n"/>
      <c r="AF29" s="73" t="n"/>
      <c r="AG29" s="69" t="n"/>
      <c r="AH29" s="85" t="n"/>
    </row>
    <row r="30">
      <c r="A30" s="82" t="n">
        <v>29</v>
      </c>
      <c r="B30" s="75" t="n">
        <v>81620191</v>
      </c>
      <c r="C30" s="62" t="inlineStr">
        <is>
          <t>UTSMV003</t>
        </is>
      </c>
      <c r="D30" s="62" t="inlineStr">
        <is>
          <t>Utility</t>
        </is>
      </c>
      <c r="E30" s="62" t="n">
        <v>48</v>
      </c>
      <c r="F30" s="62" t="inlineStr">
        <is>
          <t>MOV</t>
        </is>
      </c>
      <c r="G30" s="62" t="inlineStr">
        <is>
          <t>MACCHI/ AUMA</t>
        </is>
      </c>
      <c r="H30" s="456" t="inlineStr">
        <is>
          <t>MOTOR OPERATED</t>
        </is>
      </c>
      <c r="I30" s="69" t="n"/>
      <c r="J30" s="129" t="inlineStr">
        <is>
          <t>M237-48MOV-951</t>
        </is>
      </c>
      <c r="K30" s="69" t="n"/>
      <c r="L30" s="69" t="n"/>
      <c r="M30" s="62" t="inlineStr">
        <is>
          <t>Gear Box Servicing &amp; Valve Packing Replacement</t>
        </is>
      </c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2" t="n">
        <v>8</v>
      </c>
      <c r="X30" s="62" t="n">
        <v>8</v>
      </c>
      <c r="Y30" s="456" t="n"/>
      <c r="Z30" s="69" t="n"/>
      <c r="AA30" s="62" t="n">
        <v>600</v>
      </c>
      <c r="AB30" s="62" t="n">
        <v>600</v>
      </c>
      <c r="AC30" s="73" t="n"/>
      <c r="AD30" s="69" t="n"/>
      <c r="AE30" s="69" t="n"/>
      <c r="AF30" s="73" t="n"/>
      <c r="AG30" s="69" t="n"/>
      <c r="AH30" s="85" t="n"/>
    </row>
    <row r="31">
      <c r="A31" s="82" t="n">
        <v>30</v>
      </c>
      <c r="B31" s="75" t="n">
        <v>81620192</v>
      </c>
      <c r="C31" s="62" t="inlineStr">
        <is>
          <t>UTSMV004</t>
        </is>
      </c>
      <c r="D31" s="62" t="inlineStr">
        <is>
          <t>Utility</t>
        </is>
      </c>
      <c r="E31" s="62" t="n">
        <v>52</v>
      </c>
      <c r="F31" s="62" t="inlineStr">
        <is>
          <t>MOV</t>
        </is>
      </c>
      <c r="G31" s="62" t="inlineStr">
        <is>
          <t>AUDCO INDIA/ SAMBO INDIA</t>
        </is>
      </c>
      <c r="H31" s="456" t="inlineStr">
        <is>
          <t>MOTOR OPERATED</t>
        </is>
      </c>
      <c r="I31" s="69" t="n"/>
      <c r="J31" s="129" t="inlineStr">
        <is>
          <t>M237-52MOV-001A</t>
        </is>
      </c>
      <c r="K31" s="69" t="n"/>
      <c r="L31" s="69" t="n"/>
      <c r="M31" s="62" t="inlineStr">
        <is>
          <t>Gear Box Servicing &amp; Valve Packing Replacement</t>
        </is>
      </c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2" t="n">
        <v>10</v>
      </c>
      <c r="X31" s="62" t="n">
        <v>10</v>
      </c>
      <c r="Y31" s="456" t="n"/>
      <c r="Z31" s="69" t="n"/>
      <c r="AA31" s="62" t="n">
        <v>1500</v>
      </c>
      <c r="AB31" s="62" t="n">
        <v>1500</v>
      </c>
      <c r="AC31" s="73" t="n"/>
      <c r="AD31" s="69" t="n"/>
      <c r="AE31" s="69" t="n"/>
      <c r="AF31" s="73" t="n"/>
      <c r="AG31" s="69" t="n"/>
      <c r="AH31" s="85" t="n"/>
    </row>
    <row r="32">
      <c r="A32" s="82" t="n">
        <v>31</v>
      </c>
      <c r="B32" s="75" t="n">
        <v>81620193</v>
      </c>
      <c r="C32" s="62" t="inlineStr">
        <is>
          <t>UTSMV005</t>
        </is>
      </c>
      <c r="D32" s="62" t="inlineStr">
        <is>
          <t>Utility</t>
        </is>
      </c>
      <c r="E32" s="62" t="n">
        <v>52</v>
      </c>
      <c r="F32" s="62" t="inlineStr">
        <is>
          <t>MOV</t>
        </is>
      </c>
      <c r="G32" s="62" t="inlineStr">
        <is>
          <t>AUDCO INDIA/ SAMBO INDIA</t>
        </is>
      </c>
      <c r="H32" s="456" t="inlineStr">
        <is>
          <t>MOTOR OPERATED</t>
        </is>
      </c>
      <c r="I32" s="69" t="n"/>
      <c r="J32" s="129" t="inlineStr">
        <is>
          <t>M237-52MOV-001B</t>
        </is>
      </c>
      <c r="K32" s="69" t="n"/>
      <c r="L32" s="69" t="n"/>
      <c r="M32" s="62" t="inlineStr">
        <is>
          <t>Gear Box Servicing &amp; Valve Packing Replacement</t>
        </is>
      </c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2" t="n">
        <v>10</v>
      </c>
      <c r="X32" s="62" t="n">
        <v>10</v>
      </c>
      <c r="Y32" s="456" t="n"/>
      <c r="Z32" s="69" t="n"/>
      <c r="AA32" s="62" t="n">
        <v>1500</v>
      </c>
      <c r="AB32" s="62" t="n">
        <v>1500</v>
      </c>
      <c r="AC32" s="73" t="n"/>
      <c r="AD32" s="69" t="n"/>
      <c r="AE32" s="69" t="n"/>
      <c r="AF32" s="73" t="n"/>
      <c r="AG32" s="69" t="n"/>
      <c r="AH32" s="85" t="n"/>
    </row>
    <row r="33">
      <c r="A33" s="82" t="n">
        <v>32</v>
      </c>
      <c r="B33" s="75" t="n">
        <v>81620194</v>
      </c>
      <c r="C33" s="62" t="inlineStr">
        <is>
          <t>UTSMV006</t>
        </is>
      </c>
      <c r="D33" s="62" t="inlineStr">
        <is>
          <t>Utility</t>
        </is>
      </c>
      <c r="E33" s="62" t="n">
        <v>52</v>
      </c>
      <c r="F33" s="62" t="inlineStr">
        <is>
          <t>MOV</t>
        </is>
      </c>
      <c r="G33" s="62" t="inlineStr">
        <is>
          <t>AUDCO INDIA/ SAMBO INDIA</t>
        </is>
      </c>
      <c r="H33" s="456" t="inlineStr">
        <is>
          <t>MOTOR OPERATED</t>
        </is>
      </c>
      <c r="I33" s="69" t="n"/>
      <c r="J33" s="129" t="inlineStr">
        <is>
          <t>M237-52MOV-001C</t>
        </is>
      </c>
      <c r="K33" s="69" t="n"/>
      <c r="L33" s="69" t="n"/>
      <c r="M33" s="62" t="inlineStr">
        <is>
          <t>Gear Box Servicing &amp; Valve Packing Replacement</t>
        </is>
      </c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2" t="n">
        <v>10</v>
      </c>
      <c r="X33" s="62" t="n">
        <v>10</v>
      </c>
      <c r="Y33" s="456" t="n"/>
      <c r="Z33" s="69" t="n"/>
      <c r="AA33" s="62" t="n">
        <v>1500</v>
      </c>
      <c r="AB33" s="62" t="n">
        <v>1500</v>
      </c>
      <c r="AC33" s="73" t="n"/>
      <c r="AD33" s="69" t="n"/>
      <c r="AE33" s="69" t="n"/>
      <c r="AF33" s="73" t="n"/>
      <c r="AG33" s="69" t="n"/>
      <c r="AH33" s="85" t="n"/>
    </row>
    <row r="34">
      <c r="A34" s="82" t="n">
        <v>33</v>
      </c>
      <c r="B34" s="75" t="n">
        <v>81620196</v>
      </c>
      <c r="C34" s="62" t="inlineStr">
        <is>
          <t>UTSMV007</t>
        </is>
      </c>
      <c r="D34" s="62" t="inlineStr">
        <is>
          <t>Utility</t>
        </is>
      </c>
      <c r="E34" s="62" t="n">
        <v>53</v>
      </c>
      <c r="F34" s="62" t="inlineStr">
        <is>
          <t>MOV</t>
        </is>
      </c>
      <c r="G34" s="62" t="inlineStr">
        <is>
          <t>MACCHI/ AUMA</t>
        </is>
      </c>
      <c r="H34" s="456" t="inlineStr">
        <is>
          <t>MOTOR OPERATED</t>
        </is>
      </c>
      <c r="I34" s="69" t="n"/>
      <c r="J34" s="129" t="inlineStr">
        <is>
          <t>M237-53MOV-451</t>
        </is>
      </c>
      <c r="K34" s="69" t="n"/>
      <c r="L34" s="69" t="n"/>
      <c r="M34" s="62" t="inlineStr">
        <is>
          <t>Gear Box Servicing &amp; Valve Packing Replacement</t>
        </is>
      </c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2" t="n">
        <v>10</v>
      </c>
      <c r="X34" s="62" t="n">
        <v>10</v>
      </c>
      <c r="Y34" s="456" t="n"/>
      <c r="Z34" s="69" t="n"/>
      <c r="AA34" s="62" t="n">
        <v>2500</v>
      </c>
      <c r="AB34" s="62" t="n">
        <v>2500</v>
      </c>
      <c r="AC34" s="73" t="n"/>
      <c r="AD34" s="69" t="n"/>
      <c r="AE34" s="69" t="n"/>
      <c r="AF34" s="73" t="n"/>
      <c r="AG34" s="69" t="n"/>
      <c r="AH34" s="85" t="n"/>
    </row>
    <row r="35">
      <c r="A35" s="82" t="n">
        <v>34</v>
      </c>
      <c r="B35" s="75" t="n">
        <v>81620197</v>
      </c>
      <c r="C35" s="62" t="inlineStr">
        <is>
          <t>UTSMV008</t>
        </is>
      </c>
      <c r="D35" s="62" t="inlineStr">
        <is>
          <t>Utility</t>
        </is>
      </c>
      <c r="E35" s="62" t="n">
        <v>53</v>
      </c>
      <c r="F35" s="62" t="inlineStr">
        <is>
          <t>MOV</t>
        </is>
      </c>
      <c r="G35" s="62" t="inlineStr">
        <is>
          <t>MACCHI/ AUMA</t>
        </is>
      </c>
      <c r="H35" s="456" t="inlineStr">
        <is>
          <t>MOTOR OPERATED</t>
        </is>
      </c>
      <c r="I35" s="69" t="n"/>
      <c r="J35" s="129" t="inlineStr">
        <is>
          <t>M237-53MOV-452</t>
        </is>
      </c>
      <c r="K35" s="69" t="n"/>
      <c r="L35" s="69" t="n"/>
      <c r="M35" s="62" t="inlineStr">
        <is>
          <t>Gear Box Servicing &amp; Valve Packing Replacement</t>
        </is>
      </c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2" t="n">
        <v>2</v>
      </c>
      <c r="X35" s="62" t="n">
        <v>2</v>
      </c>
      <c r="Y35" s="456" t="n"/>
      <c r="Z35" s="69" t="n"/>
      <c r="AA35" s="62" t="n">
        <v>2500</v>
      </c>
      <c r="AB35" s="62" t="n">
        <v>2500</v>
      </c>
      <c r="AC35" s="73" t="n"/>
      <c r="AD35" s="69" t="n"/>
      <c r="AE35" s="69" t="n"/>
      <c r="AF35" s="73" t="n"/>
      <c r="AG35" s="69" t="n"/>
      <c r="AH35" s="85" t="n"/>
    </row>
    <row r="36">
      <c r="A36" s="82" t="n">
        <v>35</v>
      </c>
      <c r="B36" s="75" t="n">
        <v>81620198</v>
      </c>
      <c r="C36" s="62" t="inlineStr">
        <is>
          <t>UTSMV009</t>
        </is>
      </c>
      <c r="D36" s="62" t="inlineStr">
        <is>
          <t>Utility</t>
        </is>
      </c>
      <c r="E36" s="62" t="n">
        <v>53</v>
      </c>
      <c r="F36" s="62" t="inlineStr">
        <is>
          <t>MOV</t>
        </is>
      </c>
      <c r="G36" s="62" t="inlineStr">
        <is>
          <t>MACCHI/ AUMA</t>
        </is>
      </c>
      <c r="H36" s="456" t="inlineStr">
        <is>
          <t>MOTOR OPERATED</t>
        </is>
      </c>
      <c r="I36" s="69" t="n"/>
      <c r="J36" s="129" t="inlineStr">
        <is>
          <t>M237-53MOV-453</t>
        </is>
      </c>
      <c r="K36" s="69" t="n"/>
      <c r="L36" s="69" t="n"/>
      <c r="M36" s="62" t="inlineStr">
        <is>
          <t>Gear Box Servicing &amp; Valve Packing Replacement</t>
        </is>
      </c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2" t="n">
        <v>6</v>
      </c>
      <c r="X36" s="62" t="n">
        <v>6</v>
      </c>
      <c r="Y36" s="456" t="n"/>
      <c r="Z36" s="69" t="n"/>
      <c r="AA36" s="62" t="n">
        <v>2500</v>
      </c>
      <c r="AB36" s="62" t="n">
        <v>2500</v>
      </c>
      <c r="AC36" s="73" t="n"/>
      <c r="AD36" s="69" t="n"/>
      <c r="AE36" s="69" t="n"/>
      <c r="AF36" s="73" t="n"/>
      <c r="AG36" s="69" t="n"/>
      <c r="AH36" s="85" t="n"/>
    </row>
    <row r="37">
      <c r="A37" s="82" t="n">
        <v>36</v>
      </c>
      <c r="B37" s="75" t="n">
        <v>81620200</v>
      </c>
      <c r="C37" s="62" t="inlineStr">
        <is>
          <t>UTSMV011</t>
        </is>
      </c>
      <c r="D37" s="62" t="inlineStr">
        <is>
          <t>Utility</t>
        </is>
      </c>
      <c r="E37" s="62" t="n">
        <v>53</v>
      </c>
      <c r="F37" s="62" t="inlineStr">
        <is>
          <t>MOV</t>
        </is>
      </c>
      <c r="G37" s="62" t="inlineStr">
        <is>
          <t>MACCHI/ AUMA</t>
        </is>
      </c>
      <c r="H37" s="456" t="inlineStr">
        <is>
          <t>MOTOR OPERATED</t>
        </is>
      </c>
      <c r="I37" s="69" t="n"/>
      <c r="J37" s="129" t="inlineStr">
        <is>
          <t>M237-53MOV-551</t>
        </is>
      </c>
      <c r="K37" s="69" t="n"/>
      <c r="L37" s="69" t="n"/>
      <c r="M37" s="62" t="inlineStr">
        <is>
          <t>Gear Box Servicing &amp; Valve Packing Replacement</t>
        </is>
      </c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2" t="n">
        <v>10</v>
      </c>
      <c r="X37" s="62" t="n">
        <v>10</v>
      </c>
      <c r="Y37" s="456" t="n"/>
      <c r="Z37" s="69" t="n"/>
      <c r="AA37" s="62" t="n">
        <v>2500</v>
      </c>
      <c r="AB37" s="62" t="n">
        <v>2500</v>
      </c>
      <c r="AC37" s="73" t="n"/>
      <c r="AD37" s="69" t="n"/>
      <c r="AE37" s="69" t="n"/>
      <c r="AF37" s="73" t="n"/>
      <c r="AG37" s="69" t="n"/>
      <c r="AH37" s="85" t="n"/>
    </row>
    <row r="38">
      <c r="A38" s="82" t="n">
        <v>37</v>
      </c>
      <c r="B38" s="75" t="n">
        <v>81620202</v>
      </c>
      <c r="C38" s="62" t="inlineStr">
        <is>
          <t>UTSMV012</t>
        </is>
      </c>
      <c r="D38" s="62" t="inlineStr">
        <is>
          <t>Utility</t>
        </is>
      </c>
      <c r="E38" s="62" t="n">
        <v>53</v>
      </c>
      <c r="F38" s="62" t="inlineStr">
        <is>
          <t>MOV</t>
        </is>
      </c>
      <c r="G38" s="62" t="inlineStr">
        <is>
          <t>MACCHI/ AUMA</t>
        </is>
      </c>
      <c r="H38" s="456" t="inlineStr">
        <is>
          <t>MOTOR OPERATED</t>
        </is>
      </c>
      <c r="I38" s="69" t="n"/>
      <c r="J38" s="129" t="inlineStr">
        <is>
          <t>M237-53MOV-552</t>
        </is>
      </c>
      <c r="K38" s="69" t="n"/>
      <c r="L38" s="69" t="n"/>
      <c r="M38" s="62" t="inlineStr">
        <is>
          <t>Gear Box Servicing &amp; Valve Packing Replacement</t>
        </is>
      </c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2" t="n">
        <v>2</v>
      </c>
      <c r="X38" s="62" t="n">
        <v>2</v>
      </c>
      <c r="Y38" s="456" t="n"/>
      <c r="Z38" s="69" t="n"/>
      <c r="AA38" s="62" t="n">
        <v>2500</v>
      </c>
      <c r="AB38" s="62" t="n">
        <v>2500</v>
      </c>
      <c r="AC38" s="73" t="n"/>
      <c r="AD38" s="69" t="n"/>
      <c r="AE38" s="69" t="n"/>
      <c r="AF38" s="73" t="n"/>
      <c r="AG38" s="69" t="n"/>
      <c r="AH38" s="85" t="n"/>
    </row>
    <row r="39">
      <c r="A39" s="82" t="n">
        <v>38</v>
      </c>
      <c r="B39" s="75" t="n">
        <v>81620203</v>
      </c>
      <c r="C39" s="62" t="inlineStr">
        <is>
          <t>UTSMV013</t>
        </is>
      </c>
      <c r="D39" s="62" t="inlineStr">
        <is>
          <t>Utility</t>
        </is>
      </c>
      <c r="E39" s="62" t="n">
        <v>53</v>
      </c>
      <c r="F39" s="62" t="inlineStr">
        <is>
          <t>MOV</t>
        </is>
      </c>
      <c r="G39" s="62" t="inlineStr">
        <is>
          <t>MACCHI/ AUMA</t>
        </is>
      </c>
      <c r="H39" s="456" t="inlineStr">
        <is>
          <t>MOTOR OPERATED</t>
        </is>
      </c>
      <c r="I39" s="69" t="n"/>
      <c r="J39" s="129" t="inlineStr">
        <is>
          <t>M237-53MOV-553</t>
        </is>
      </c>
      <c r="K39" s="69" t="n"/>
      <c r="L39" s="69" t="n"/>
      <c r="M39" s="62" t="inlineStr">
        <is>
          <t>Gear Box Servicing &amp; Valve Packing Replacement</t>
        </is>
      </c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2" t="n">
        <v>6</v>
      </c>
      <c r="X39" s="62" t="n">
        <v>6</v>
      </c>
      <c r="Y39" s="456" t="n"/>
      <c r="Z39" s="69" t="n"/>
      <c r="AA39" s="62" t="n">
        <v>2500</v>
      </c>
      <c r="AB39" s="62" t="n">
        <v>2500</v>
      </c>
      <c r="AC39" s="73" t="n"/>
      <c r="AD39" s="69" t="n"/>
      <c r="AE39" s="69" t="n"/>
      <c r="AF39" s="73" t="n"/>
      <c r="AG39" s="69" t="n"/>
      <c r="AH39" s="85" t="n"/>
    </row>
    <row r="40">
      <c r="A40" s="82" t="n">
        <v>39</v>
      </c>
      <c r="B40" s="75" t="n">
        <v>81620205</v>
      </c>
      <c r="C40" s="62" t="inlineStr">
        <is>
          <t>UTSMV015</t>
        </is>
      </c>
      <c r="D40" s="62" t="inlineStr">
        <is>
          <t>Utility</t>
        </is>
      </c>
      <c r="E40" s="62" t="n">
        <v>54</v>
      </c>
      <c r="F40" s="62" t="inlineStr">
        <is>
          <t>MOV</t>
        </is>
      </c>
      <c r="G40" s="62" t="inlineStr">
        <is>
          <t>MAMMOUTH/ ISORIA</t>
        </is>
      </c>
      <c r="H40" s="456" t="inlineStr">
        <is>
          <t>MOTOR OPERATED</t>
        </is>
      </c>
      <c r="I40" s="69" t="n"/>
      <c r="J40" s="129" t="inlineStr">
        <is>
          <t>M237-54MOV-001A</t>
        </is>
      </c>
      <c r="K40" s="69" t="n"/>
      <c r="L40" s="69" t="n"/>
      <c r="M40" s="62" t="inlineStr">
        <is>
          <t>Gear Box Servicing &amp; Valve Packing Replacement</t>
        </is>
      </c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2" t="n">
        <v>60</v>
      </c>
      <c r="X40" s="62" t="n">
        <v>60</v>
      </c>
      <c r="Y40" s="456" t="n"/>
      <c r="Z40" s="69" t="n"/>
      <c r="AA40" s="62" t="n">
        <v>150</v>
      </c>
      <c r="AB40" s="62" t="n">
        <v>150</v>
      </c>
      <c r="AC40" s="73" t="n"/>
      <c r="AD40" s="69" t="n"/>
      <c r="AE40" s="69" t="n"/>
      <c r="AF40" s="73" t="n"/>
      <c r="AG40" s="69" t="n"/>
      <c r="AH40" s="85" t="n"/>
    </row>
    <row r="41">
      <c r="A41" s="82" t="n">
        <v>40</v>
      </c>
      <c r="B41" s="75" t="n">
        <v>81620206</v>
      </c>
      <c r="C41" s="62" t="inlineStr">
        <is>
          <t>UTSMV016</t>
        </is>
      </c>
      <c r="D41" s="62" t="inlineStr">
        <is>
          <t>Utility</t>
        </is>
      </c>
      <c r="E41" s="62" t="n">
        <v>54</v>
      </c>
      <c r="F41" s="62" t="inlineStr">
        <is>
          <t>MOV</t>
        </is>
      </c>
      <c r="G41" s="62" t="inlineStr">
        <is>
          <t>MAMMOUTH/ ISORIA</t>
        </is>
      </c>
      <c r="H41" s="456" t="inlineStr">
        <is>
          <t>MOTOR OPERATED</t>
        </is>
      </c>
      <c r="I41" s="69" t="n"/>
      <c r="J41" s="129" t="inlineStr">
        <is>
          <t>M237-54MOV-001B</t>
        </is>
      </c>
      <c r="K41" s="69" t="n"/>
      <c r="L41" s="69" t="n"/>
      <c r="M41" s="62" t="inlineStr">
        <is>
          <t>Gear Box Servicing &amp; Valve Packing Replacement</t>
        </is>
      </c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2" t="n">
        <v>60</v>
      </c>
      <c r="X41" s="62" t="n">
        <v>60</v>
      </c>
      <c r="Y41" s="456" t="n"/>
      <c r="Z41" s="69" t="n"/>
      <c r="AA41" s="62" t="n">
        <v>150</v>
      </c>
      <c r="AB41" s="62" t="n">
        <v>150</v>
      </c>
      <c r="AC41" s="73" t="n"/>
      <c r="AD41" s="69" t="n"/>
      <c r="AE41" s="69" t="n"/>
      <c r="AF41" s="73" t="n"/>
      <c r="AG41" s="69" t="n"/>
      <c r="AH41" s="85" t="n"/>
    </row>
    <row r="42">
      <c r="A42" s="82" t="n">
        <v>41</v>
      </c>
      <c r="B42" s="75" t="n">
        <v>81620207</v>
      </c>
      <c r="C42" s="62" t="inlineStr">
        <is>
          <t>UTSMV017</t>
        </is>
      </c>
      <c r="D42" s="62" t="inlineStr">
        <is>
          <t>Utility</t>
        </is>
      </c>
      <c r="E42" s="62" t="n">
        <v>54</v>
      </c>
      <c r="F42" s="62" t="inlineStr">
        <is>
          <t>MOV</t>
        </is>
      </c>
      <c r="G42" s="62" t="inlineStr">
        <is>
          <t>MAMMOUTH/ ISORIA</t>
        </is>
      </c>
      <c r="H42" s="456" t="inlineStr">
        <is>
          <t>MOTOR OPERATED</t>
        </is>
      </c>
      <c r="I42" s="69" t="n"/>
      <c r="J42" s="129" t="inlineStr">
        <is>
          <t>M237-54MOV-001C</t>
        </is>
      </c>
      <c r="K42" s="69" t="n"/>
      <c r="L42" s="69" t="n"/>
      <c r="M42" s="62" t="inlineStr">
        <is>
          <t>Gear Box Servicing &amp; Valve Packing Replacement</t>
        </is>
      </c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2" t="n">
        <v>60</v>
      </c>
      <c r="X42" s="62" t="n">
        <v>60</v>
      </c>
      <c r="Y42" s="456" t="n"/>
      <c r="Z42" s="69" t="n"/>
      <c r="AA42" s="62" t="n">
        <v>150</v>
      </c>
      <c r="AB42" s="62" t="n">
        <v>150</v>
      </c>
      <c r="AC42" s="73" t="n"/>
      <c r="AD42" s="69" t="n"/>
      <c r="AE42" s="69" t="n"/>
      <c r="AF42" s="73" t="n"/>
      <c r="AG42" s="69" t="n"/>
      <c r="AH42" s="85" t="n"/>
    </row>
    <row r="43">
      <c r="A43" s="82" t="n">
        <v>42</v>
      </c>
      <c r="B43" s="75" t="n">
        <v>81620208</v>
      </c>
      <c r="C43" s="62" t="inlineStr">
        <is>
          <t>UTSMV018</t>
        </is>
      </c>
      <c r="D43" s="62" t="inlineStr">
        <is>
          <t>Utility</t>
        </is>
      </c>
      <c r="E43" s="62" t="n">
        <v>54</v>
      </c>
      <c r="F43" s="62" t="inlineStr">
        <is>
          <t>MOV</t>
        </is>
      </c>
      <c r="G43" s="62" t="inlineStr">
        <is>
          <t>ISORIA</t>
        </is>
      </c>
      <c r="H43" s="456" t="inlineStr">
        <is>
          <t>MOTOR OPERATED</t>
        </is>
      </c>
      <c r="I43" s="69" t="n"/>
      <c r="J43" s="129" t="inlineStr">
        <is>
          <t>M237-54MOV-002A</t>
        </is>
      </c>
      <c r="K43" s="69" t="n"/>
      <c r="L43" s="69" t="n"/>
      <c r="M43" s="62" t="inlineStr">
        <is>
          <t>Gear Box Servicing &amp; Valve Packing Replacement</t>
        </is>
      </c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2" t="n">
        <v>24</v>
      </c>
      <c r="X43" s="62" t="n">
        <v>24</v>
      </c>
      <c r="Y43" s="456" t="n"/>
      <c r="Z43" s="69" t="n"/>
      <c r="AA43" s="62" t="n">
        <v>150</v>
      </c>
      <c r="AB43" s="62" t="n">
        <v>150</v>
      </c>
      <c r="AC43" s="73" t="n"/>
      <c r="AD43" s="69" t="n"/>
      <c r="AE43" s="69" t="n"/>
      <c r="AF43" s="73" t="n"/>
      <c r="AG43" s="69" t="n"/>
      <c r="AH43" s="85" t="n"/>
    </row>
    <row r="44">
      <c r="A44" s="82" t="n">
        <v>43</v>
      </c>
      <c r="B44" s="75" t="n">
        <v>81620209</v>
      </c>
      <c r="C44" s="62" t="inlineStr">
        <is>
          <t>UTSMV019</t>
        </is>
      </c>
      <c r="D44" s="62" t="inlineStr">
        <is>
          <t>Utility</t>
        </is>
      </c>
      <c r="E44" s="62" t="n">
        <v>54</v>
      </c>
      <c r="F44" s="62" t="inlineStr">
        <is>
          <t>MOV</t>
        </is>
      </c>
      <c r="G44" s="62" t="inlineStr">
        <is>
          <t>ISORIA</t>
        </is>
      </c>
      <c r="H44" s="456" t="inlineStr">
        <is>
          <t>MOTOR OPERATED</t>
        </is>
      </c>
      <c r="I44" s="69" t="n"/>
      <c r="J44" s="129" t="inlineStr">
        <is>
          <t>M237-54MOV-002B</t>
        </is>
      </c>
      <c r="K44" s="69" t="n"/>
      <c r="L44" s="69" t="n"/>
      <c r="M44" s="62" t="inlineStr">
        <is>
          <t>Gear Box Servicing &amp; Valve Packing Replacement</t>
        </is>
      </c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2" t="n">
        <v>24</v>
      </c>
      <c r="X44" s="62" t="n">
        <v>24</v>
      </c>
      <c r="Y44" s="456" t="n"/>
      <c r="Z44" s="69" t="n"/>
      <c r="AA44" s="62" t="n">
        <v>150</v>
      </c>
      <c r="AB44" s="62" t="n">
        <v>150</v>
      </c>
      <c r="AC44" s="73" t="n"/>
      <c r="AD44" s="69" t="n"/>
      <c r="AE44" s="69" t="n"/>
      <c r="AF44" s="73" t="n"/>
      <c r="AG44" s="69" t="n"/>
      <c r="AH44" s="85" t="n"/>
    </row>
    <row r="45">
      <c r="A45" s="82" t="n">
        <v>44</v>
      </c>
      <c r="B45" s="75" t="n">
        <v>81620210</v>
      </c>
      <c r="C45" s="62" t="inlineStr">
        <is>
          <t>UTSMV020</t>
        </is>
      </c>
      <c r="D45" s="62" t="inlineStr">
        <is>
          <t>Utility</t>
        </is>
      </c>
      <c r="E45" s="62" t="n">
        <v>55</v>
      </c>
      <c r="F45" s="62" t="inlineStr">
        <is>
          <t>MOV</t>
        </is>
      </c>
      <c r="G45" s="62" t="inlineStr">
        <is>
          <t>ISORIA</t>
        </is>
      </c>
      <c r="H45" s="456" t="inlineStr">
        <is>
          <t>MOTOR OPERATED</t>
        </is>
      </c>
      <c r="I45" s="69" t="n"/>
      <c r="J45" s="129" t="inlineStr">
        <is>
          <t>M237-55MOV-001A</t>
        </is>
      </c>
      <c r="K45" s="69" t="n"/>
      <c r="L45" s="69" t="n"/>
      <c r="M45" s="62" t="inlineStr">
        <is>
          <t>Gear Box Servicing &amp; Valve Packing Replacement</t>
        </is>
      </c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2" t="n">
        <v>24</v>
      </c>
      <c r="X45" s="62" t="n">
        <v>24</v>
      </c>
      <c r="Y45" s="456" t="n"/>
      <c r="Z45" s="69" t="n"/>
      <c r="AA45" s="62" t="n">
        <v>150</v>
      </c>
      <c r="AB45" s="62" t="n">
        <v>150</v>
      </c>
      <c r="AC45" s="73" t="n"/>
      <c r="AD45" s="69" t="n"/>
      <c r="AE45" s="69" t="n"/>
      <c r="AF45" s="73" t="n"/>
      <c r="AG45" s="69" t="n"/>
      <c r="AH45" s="85" t="n"/>
    </row>
    <row r="46">
      <c r="A46" s="82" t="n">
        <v>45</v>
      </c>
      <c r="B46" s="75" t="n">
        <v>81620211</v>
      </c>
      <c r="C46" s="62" t="inlineStr">
        <is>
          <t>UTSMV021</t>
        </is>
      </c>
      <c r="D46" s="62" t="inlineStr">
        <is>
          <t>Utility</t>
        </is>
      </c>
      <c r="E46" s="62" t="n">
        <v>55</v>
      </c>
      <c r="F46" s="62" t="inlineStr">
        <is>
          <t>MOV</t>
        </is>
      </c>
      <c r="G46" s="62" t="inlineStr">
        <is>
          <t>ISORIA</t>
        </is>
      </c>
      <c r="H46" s="456" t="inlineStr">
        <is>
          <t>MOTOR OPERATED</t>
        </is>
      </c>
      <c r="I46" s="69" t="n"/>
      <c r="J46" s="129" t="inlineStr">
        <is>
          <t>M237-55MOV-001B</t>
        </is>
      </c>
      <c r="K46" s="69" t="n"/>
      <c r="L46" s="69" t="n"/>
      <c r="M46" s="62" t="inlineStr">
        <is>
          <t>Gear Box Servicing &amp; Valve Packing Replacement</t>
        </is>
      </c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2" t="n">
        <v>24</v>
      </c>
      <c r="X46" s="62" t="n">
        <v>24</v>
      </c>
      <c r="Y46" s="456" t="n"/>
      <c r="Z46" s="69" t="n"/>
      <c r="AA46" s="62" t="n">
        <v>150</v>
      </c>
      <c r="AB46" s="62" t="n">
        <v>150</v>
      </c>
      <c r="AC46" s="73" t="n"/>
      <c r="AD46" s="69" t="n"/>
      <c r="AE46" s="69" t="n"/>
      <c r="AF46" s="73" t="n"/>
      <c r="AG46" s="69" t="n"/>
      <c r="AH46" s="85" t="n"/>
    </row>
    <row r="47">
      <c r="A47" s="82" t="n">
        <v>46</v>
      </c>
      <c r="B47" s="75" t="n">
        <v>81620212</v>
      </c>
      <c r="C47" s="62" t="inlineStr">
        <is>
          <t>UTSMV022</t>
        </is>
      </c>
      <c r="D47" s="62" t="inlineStr">
        <is>
          <t>Utility</t>
        </is>
      </c>
      <c r="E47" s="62" t="n">
        <v>55</v>
      </c>
      <c r="F47" s="62" t="inlineStr">
        <is>
          <t>MOV</t>
        </is>
      </c>
      <c r="G47" s="62" t="inlineStr">
        <is>
          <t>ISORIA</t>
        </is>
      </c>
      <c r="H47" s="456" t="inlineStr">
        <is>
          <t>MOTOR OPERATED</t>
        </is>
      </c>
      <c r="I47" s="69" t="n"/>
      <c r="J47" s="129" t="inlineStr">
        <is>
          <t>M237-55MOV-001C</t>
        </is>
      </c>
      <c r="K47" s="69" t="n"/>
      <c r="L47" s="69" t="n"/>
      <c r="M47" s="62" t="inlineStr">
        <is>
          <t>Gear Box Servicing &amp; Valve Packing Replacement</t>
        </is>
      </c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2" t="n">
        <v>24</v>
      </c>
      <c r="X47" s="62" t="n">
        <v>24</v>
      </c>
      <c r="Y47" s="456" t="n"/>
      <c r="Z47" s="69" t="n"/>
      <c r="AA47" s="62" t="n">
        <v>150</v>
      </c>
      <c r="AB47" s="62" t="n">
        <v>150</v>
      </c>
      <c r="AC47" s="73" t="n"/>
      <c r="AD47" s="69" t="n"/>
      <c r="AE47" s="69" t="n"/>
      <c r="AF47" s="73" t="n"/>
      <c r="AG47" s="69" t="n"/>
      <c r="AH47" s="85" t="n"/>
    </row>
    <row r="48">
      <c r="A48" s="82" t="n">
        <v>47</v>
      </c>
      <c r="B48" s="75" t="n">
        <v>81753184</v>
      </c>
      <c r="C48" s="62" t="inlineStr">
        <is>
          <t>AMSAV001</t>
        </is>
      </c>
      <c r="D48" s="62" t="inlineStr">
        <is>
          <t>Ammonia</t>
        </is>
      </c>
      <c r="E48" s="62" t="n">
        <v>15</v>
      </c>
      <c r="F48" s="62" t="inlineStr">
        <is>
          <t>ARV</t>
        </is>
      </c>
      <c r="G48" s="62" t="inlineStr">
        <is>
          <t>SCHROEDAHL</t>
        </is>
      </c>
      <c r="H48" s="69" t="n"/>
      <c r="I48" s="69" t="n"/>
      <c r="J48" s="129" t="inlineStr">
        <is>
          <t>M237-ARV-1501A</t>
        </is>
      </c>
      <c r="K48" s="69" t="n"/>
      <c r="L48" s="69" t="n"/>
      <c r="M48" s="62" t="inlineStr">
        <is>
          <t>Valve Overhaul at Workshop</t>
        </is>
      </c>
      <c r="N48" s="69" t="inlineStr">
        <is>
          <t>LENOG_PCFSSB_RR_001</t>
        </is>
      </c>
      <c r="O48" s="69" t="inlineStr">
        <is>
          <t>LENOG_PCFSSB_CR_001</t>
        </is>
      </c>
      <c r="P48" s="69" t="inlineStr">
        <is>
          <t>LENOG_PCFSSB_FR_001</t>
        </is>
      </c>
      <c r="Q48" s="69" t="inlineStr">
        <is>
          <t>LENOG_PCFSSB_SR_001</t>
        </is>
      </c>
      <c r="R48" s="69" t="n"/>
      <c r="S48" s="69" t="n"/>
      <c r="T48" s="69" t="n"/>
      <c r="U48" s="69" t="n"/>
      <c r="V48" s="69" t="n"/>
      <c r="W48" s="62" t="inlineStr">
        <is>
          <t>6x6x3</t>
        </is>
      </c>
      <c r="X48" s="62" t="inlineStr">
        <is>
          <t>6x6x3</t>
        </is>
      </c>
      <c r="Y48" s="456" t="n"/>
      <c r="Z48" s="69" t="n"/>
      <c r="AA48" s="62" t="n">
        <v>600</v>
      </c>
      <c r="AB48" s="62" t="n">
        <v>600</v>
      </c>
      <c r="AC48" s="73" t="n"/>
      <c r="AD48" s="69" t="n"/>
      <c r="AE48" s="69" t="n"/>
      <c r="AF48" s="73" t="n"/>
      <c r="AG48" s="69" t="n"/>
      <c r="AH48" s="85" t="n"/>
    </row>
    <row r="49">
      <c r="A49" s="82" t="n">
        <v>48</v>
      </c>
      <c r="B49" s="75" t="n">
        <v>81753185</v>
      </c>
      <c r="C49" s="62" t="inlineStr">
        <is>
          <t>AMSAV002</t>
        </is>
      </c>
      <c r="D49" s="62" t="inlineStr">
        <is>
          <t>Ammonia</t>
        </is>
      </c>
      <c r="E49" s="62" t="n">
        <v>15</v>
      </c>
      <c r="F49" s="62" t="inlineStr">
        <is>
          <t>ARV</t>
        </is>
      </c>
      <c r="G49" s="62" t="inlineStr">
        <is>
          <t>SCHROEDAHL</t>
        </is>
      </c>
      <c r="H49" s="69" t="n"/>
      <c r="I49" s="69" t="n"/>
      <c r="J49" s="129" t="inlineStr">
        <is>
          <t>M237-ARV-1501B</t>
        </is>
      </c>
      <c r="K49" s="69" t="n"/>
      <c r="L49" s="69" t="n"/>
      <c r="M49" s="62" t="inlineStr">
        <is>
          <t>Valve Overhaul at Workshop</t>
        </is>
      </c>
      <c r="N49" s="69" t="inlineStr">
        <is>
          <t>LENOG_PCFSSB_RR_002</t>
        </is>
      </c>
      <c r="O49" s="69" t="inlineStr">
        <is>
          <t>LENOG_PCFSSB_CR_001</t>
        </is>
      </c>
      <c r="P49" s="69" t="inlineStr">
        <is>
          <t>LENOG_PCFSSB_FR_001</t>
        </is>
      </c>
      <c r="Q49" s="69" t="inlineStr">
        <is>
          <t>LENOG_PCFSSB_SR_001</t>
        </is>
      </c>
      <c r="R49" s="69" t="n"/>
      <c r="S49" s="69" t="n"/>
      <c r="T49" s="69" t="n"/>
      <c r="U49" s="69" t="n"/>
      <c r="V49" s="69" t="n"/>
      <c r="W49" s="62" t="inlineStr">
        <is>
          <t>6x6x3</t>
        </is>
      </c>
      <c r="X49" s="62" t="inlineStr">
        <is>
          <t>6x6x3</t>
        </is>
      </c>
      <c r="Y49" s="456" t="n"/>
      <c r="Z49" s="69" t="n"/>
      <c r="AA49" s="62" t="n">
        <v>600</v>
      </c>
      <c r="AB49" s="62" t="n">
        <v>600</v>
      </c>
      <c r="AC49" s="73" t="n"/>
      <c r="AD49" s="69" t="n"/>
      <c r="AE49" s="69" t="n"/>
      <c r="AF49" s="73" t="n"/>
      <c r="AG49" s="69" t="n"/>
      <c r="AH49" s="85" t="n"/>
    </row>
    <row r="50">
      <c r="A50" s="82" t="n">
        <v>49</v>
      </c>
      <c r="B50" s="75" t="n">
        <v>81753186</v>
      </c>
      <c r="C50" s="62" t="inlineStr">
        <is>
          <t>URSAV001</t>
        </is>
      </c>
      <c r="D50" s="62" t="inlineStr">
        <is>
          <t>Urea</t>
        </is>
      </c>
      <c r="E50" s="62" t="n">
        <v>34</v>
      </c>
      <c r="F50" s="62" t="inlineStr">
        <is>
          <t>ARV</t>
        </is>
      </c>
      <c r="G50" s="62" t="inlineStr">
        <is>
          <t>SCHROEDAHL</t>
        </is>
      </c>
      <c r="H50" s="69" t="n"/>
      <c r="I50" s="69" t="n"/>
      <c r="J50" s="129" t="inlineStr">
        <is>
          <t>M237-ARV-3401A</t>
        </is>
      </c>
      <c r="K50" s="69" t="n"/>
      <c r="L50" s="69" t="n"/>
      <c r="M50" s="62" t="inlineStr">
        <is>
          <t>Valve Overhaul at Workshop</t>
        </is>
      </c>
      <c r="N50" s="69" t="inlineStr">
        <is>
          <t>LENOG_PCFSSB_RR_002</t>
        </is>
      </c>
      <c r="O50" s="69" t="inlineStr">
        <is>
          <t>LENOG_PCFSSB_CR_001</t>
        </is>
      </c>
      <c r="P50" s="69" t="inlineStr">
        <is>
          <t>LENOG_PCFSSB_FR_001</t>
        </is>
      </c>
      <c r="Q50" s="69" t="inlineStr">
        <is>
          <t>LENOG_PCFSSB_SR_001</t>
        </is>
      </c>
      <c r="R50" s="69" t="n"/>
      <c r="S50" s="69" t="n"/>
      <c r="T50" s="69" t="n"/>
      <c r="U50" s="69" t="n"/>
      <c r="V50" s="69" t="n"/>
      <c r="W50" s="62" t="inlineStr">
        <is>
          <t>6x3</t>
        </is>
      </c>
      <c r="X50" s="62" t="inlineStr">
        <is>
          <t>6x3</t>
        </is>
      </c>
      <c r="Y50" s="456" t="n"/>
      <c r="Z50" s="69" t="n"/>
      <c r="AA50" s="62" t="inlineStr">
        <is>
          <t>300x300</t>
        </is>
      </c>
      <c r="AB50" s="62" t="inlineStr">
        <is>
          <t>300x300</t>
        </is>
      </c>
      <c r="AC50" s="73" t="n"/>
      <c r="AD50" s="69" t="n"/>
      <c r="AE50" s="69" t="n"/>
      <c r="AF50" s="73" t="n"/>
      <c r="AG50" s="69" t="n"/>
      <c r="AH50" s="85" t="n"/>
    </row>
    <row r="51">
      <c r="A51" s="82" t="n">
        <v>50</v>
      </c>
      <c r="B51" s="75" t="n">
        <v>81753187</v>
      </c>
      <c r="C51" s="62" t="inlineStr">
        <is>
          <t>URSAV002</t>
        </is>
      </c>
      <c r="D51" s="62" t="inlineStr">
        <is>
          <t>Urea</t>
        </is>
      </c>
      <c r="E51" s="62" t="n">
        <v>34</v>
      </c>
      <c r="F51" s="62" t="inlineStr">
        <is>
          <t>ARV</t>
        </is>
      </c>
      <c r="G51" s="62" t="inlineStr">
        <is>
          <t>SCHROEDAHL</t>
        </is>
      </c>
      <c r="H51" s="69" t="n"/>
      <c r="I51" s="69" t="n"/>
      <c r="J51" s="129" t="inlineStr">
        <is>
          <t>M237-ARV-3401B</t>
        </is>
      </c>
      <c r="K51" s="69" t="n"/>
      <c r="L51" s="69" t="n"/>
      <c r="M51" s="62" t="inlineStr">
        <is>
          <t>Valve Overhaul at Workshop</t>
        </is>
      </c>
      <c r="N51" s="69" t="inlineStr">
        <is>
          <t>LENOG_PCFSSB_RR_002</t>
        </is>
      </c>
      <c r="O51" s="69" t="inlineStr">
        <is>
          <t>LENOG_PCFSSB_CR_001</t>
        </is>
      </c>
      <c r="P51" s="69" t="inlineStr">
        <is>
          <t>LENOG_PCFSSB_FR_001</t>
        </is>
      </c>
      <c r="Q51" s="69" t="inlineStr">
        <is>
          <t>LENOG_PCFSSB_SR_001</t>
        </is>
      </c>
      <c r="R51" s="69" t="n"/>
      <c r="S51" s="69" t="n"/>
      <c r="T51" s="69" t="n"/>
      <c r="U51" s="69" t="n"/>
      <c r="V51" s="69" t="n"/>
      <c r="W51" s="62" t="inlineStr">
        <is>
          <t>6x3</t>
        </is>
      </c>
      <c r="X51" s="62" t="inlineStr">
        <is>
          <t>6x3</t>
        </is>
      </c>
      <c r="Y51" s="456" t="n"/>
      <c r="Z51" s="69" t="n"/>
      <c r="AA51" s="62" t="inlineStr">
        <is>
          <t>300x300</t>
        </is>
      </c>
      <c r="AB51" s="62" t="inlineStr">
        <is>
          <t>300x300</t>
        </is>
      </c>
      <c r="AC51" s="73" t="n"/>
      <c r="AD51" s="69" t="n"/>
      <c r="AE51" s="69" t="n"/>
      <c r="AF51" s="73" t="n"/>
      <c r="AG51" s="69" t="n"/>
      <c r="AH51" s="85" t="n"/>
    </row>
    <row r="52">
      <c r="A52" s="82" t="n">
        <v>51</v>
      </c>
      <c r="B52" s="75" t="n">
        <v>81753188</v>
      </c>
      <c r="C52" s="62" t="inlineStr">
        <is>
          <t>URSAV003</t>
        </is>
      </c>
      <c r="D52" s="62" t="inlineStr">
        <is>
          <t>Urea</t>
        </is>
      </c>
      <c r="E52" s="62" t="n">
        <v>37</v>
      </c>
      <c r="F52" s="62" t="inlineStr">
        <is>
          <t>ARV</t>
        </is>
      </c>
      <c r="G52" s="62" t="inlineStr">
        <is>
          <t>SCHROEDAHL</t>
        </is>
      </c>
      <c r="H52" s="69" t="n"/>
      <c r="I52" s="69" t="n"/>
      <c r="J52" s="129" t="inlineStr">
        <is>
          <t>M237-ARV-3701A</t>
        </is>
      </c>
      <c r="K52" s="69" t="n"/>
      <c r="L52" s="69" t="n"/>
      <c r="M52" s="62" t="inlineStr">
        <is>
          <t>Valve Overhaul at Workshop</t>
        </is>
      </c>
      <c r="N52" s="69" t="inlineStr">
        <is>
          <t>LENOG_PCFSSB_RR_002</t>
        </is>
      </c>
      <c r="O52" s="69" t="inlineStr">
        <is>
          <t>LENOG_PCFSSB_CR_001</t>
        </is>
      </c>
      <c r="P52" s="69" t="inlineStr">
        <is>
          <t>LENOG_PCFSSB_FR_001</t>
        </is>
      </c>
      <c r="Q52" s="69" t="inlineStr">
        <is>
          <t>LENOG_PCFSSB_SR_001</t>
        </is>
      </c>
      <c r="R52" s="69" t="n"/>
      <c r="S52" s="69" t="n"/>
      <c r="T52" s="69" t="n"/>
      <c r="U52" s="69" t="n"/>
      <c r="V52" s="69" t="n"/>
      <c r="W52" s="62" t="inlineStr">
        <is>
          <t>2x3</t>
        </is>
      </c>
      <c r="X52" s="62" t="inlineStr">
        <is>
          <t>2x3</t>
        </is>
      </c>
      <c r="Y52" s="456" t="n"/>
      <c r="Z52" s="69" t="n"/>
      <c r="AA52" s="62" t="inlineStr">
        <is>
          <t>600x600</t>
        </is>
      </c>
      <c r="AB52" s="62" t="inlineStr">
        <is>
          <t>600x600</t>
        </is>
      </c>
      <c r="AC52" s="73" t="n"/>
      <c r="AD52" s="69" t="n"/>
      <c r="AE52" s="69" t="n"/>
      <c r="AF52" s="73" t="n"/>
      <c r="AG52" s="69" t="n"/>
      <c r="AH52" s="85" t="n"/>
    </row>
    <row r="53">
      <c r="A53" s="82" t="n">
        <v>52</v>
      </c>
      <c r="B53" s="75" t="n">
        <v>81753189</v>
      </c>
      <c r="C53" s="62" t="inlineStr">
        <is>
          <t>URSAV008</t>
        </is>
      </c>
      <c r="D53" s="62" t="inlineStr">
        <is>
          <t>Urea</t>
        </is>
      </c>
      <c r="E53" s="62" t="n">
        <v>37</v>
      </c>
      <c r="F53" s="62" t="inlineStr">
        <is>
          <t>ARV</t>
        </is>
      </c>
      <c r="G53" s="62" t="inlineStr">
        <is>
          <t>SCHROEDAHL</t>
        </is>
      </c>
      <c r="H53" s="69" t="n"/>
      <c r="I53" s="69" t="n"/>
      <c r="J53" s="129" t="inlineStr">
        <is>
          <t>M237-ARV-3701B</t>
        </is>
      </c>
      <c r="K53" s="69" t="n"/>
      <c r="L53" s="69" t="n"/>
      <c r="M53" s="62" t="inlineStr">
        <is>
          <t>Valve Overhaul at Workshop</t>
        </is>
      </c>
      <c r="N53" s="69" t="inlineStr">
        <is>
          <t>LENOG_PCFSSB_RR_002</t>
        </is>
      </c>
      <c r="O53" s="69" t="inlineStr">
        <is>
          <t>LENOG_PCFSSB_CR_001</t>
        </is>
      </c>
      <c r="P53" s="69" t="inlineStr">
        <is>
          <t>LENOG_PCFSSB_FR_001</t>
        </is>
      </c>
      <c r="Q53" s="69" t="inlineStr">
        <is>
          <t>LENOG_PCFSSB_SR_001</t>
        </is>
      </c>
      <c r="R53" s="69" t="n"/>
      <c r="S53" s="69" t="n"/>
      <c r="T53" s="69" t="n"/>
      <c r="U53" s="69" t="n"/>
      <c r="V53" s="69" t="n"/>
      <c r="W53" s="62" t="inlineStr">
        <is>
          <t>2x3</t>
        </is>
      </c>
      <c r="X53" s="62" t="inlineStr">
        <is>
          <t>2x3</t>
        </is>
      </c>
      <c r="Y53" s="456" t="n"/>
      <c r="Z53" s="69" t="n"/>
      <c r="AA53" s="62" t="inlineStr">
        <is>
          <t>600x600</t>
        </is>
      </c>
      <c r="AB53" s="62" t="inlineStr">
        <is>
          <t>600x600</t>
        </is>
      </c>
      <c r="AC53" s="73" t="n"/>
      <c r="AD53" s="69" t="n"/>
      <c r="AE53" s="69" t="n"/>
      <c r="AF53" s="73" t="n"/>
      <c r="AG53" s="69" t="n"/>
      <c r="AH53" s="85" t="n"/>
    </row>
    <row r="54">
      <c r="A54" s="82" t="n">
        <v>53</v>
      </c>
      <c r="B54" s="75" t="n">
        <v>81753190</v>
      </c>
      <c r="C54" s="62" t="inlineStr">
        <is>
          <t>URSAV004</t>
        </is>
      </c>
      <c r="D54" s="62" t="inlineStr">
        <is>
          <t>Urea</t>
        </is>
      </c>
      <c r="E54" s="62" t="n">
        <v>37</v>
      </c>
      <c r="F54" s="62" t="inlineStr">
        <is>
          <t>ARV</t>
        </is>
      </c>
      <c r="G54" s="62" t="inlineStr">
        <is>
          <t>SCHROEDAHL</t>
        </is>
      </c>
      <c r="H54" s="69" t="n"/>
      <c r="I54" s="69" t="n"/>
      <c r="J54" s="129" t="inlineStr">
        <is>
          <t>M237-ARV-3703A</t>
        </is>
      </c>
      <c r="K54" s="69" t="n"/>
      <c r="L54" s="69" t="n"/>
      <c r="M54" s="62" t="inlineStr">
        <is>
          <t>Valve Overhaul at Workshop</t>
        </is>
      </c>
      <c r="N54" s="69" t="inlineStr">
        <is>
          <t>LENOG_PCFSSB_RR_002</t>
        </is>
      </c>
      <c r="O54" s="69" t="inlineStr">
        <is>
          <t>LENOG_PCFSSB_CR_001</t>
        </is>
      </c>
      <c r="P54" s="69" t="inlineStr">
        <is>
          <t>LENOG_PCFSSB_FR_001</t>
        </is>
      </c>
      <c r="Q54" s="69" t="inlineStr">
        <is>
          <t>LENOG_PCFSSB_SR_001</t>
        </is>
      </c>
      <c r="R54" s="69" t="n"/>
      <c r="S54" s="69" t="n"/>
      <c r="T54" s="69" t="n"/>
      <c r="U54" s="69" t="n"/>
      <c r="V54" s="69" t="n"/>
      <c r="W54" s="62" t="inlineStr">
        <is>
          <t>3x1.1/2</t>
        </is>
      </c>
      <c r="X54" s="62" t="inlineStr">
        <is>
          <t>3x1.1/2</t>
        </is>
      </c>
      <c r="Y54" s="456" t="n"/>
      <c r="Z54" s="69" t="n"/>
      <c r="AA54" s="62" t="inlineStr">
        <is>
          <t>300x300</t>
        </is>
      </c>
      <c r="AB54" s="62" t="inlineStr">
        <is>
          <t>300x300</t>
        </is>
      </c>
      <c r="AC54" s="73" t="n"/>
      <c r="AD54" s="69" t="n"/>
      <c r="AE54" s="69" t="n"/>
      <c r="AF54" s="73" t="n"/>
      <c r="AG54" s="69" t="n"/>
      <c r="AH54" s="85" t="n"/>
    </row>
    <row r="55">
      <c r="A55" s="82" t="n">
        <v>54</v>
      </c>
      <c r="B55" s="75" t="n">
        <v>81753191</v>
      </c>
      <c r="C55" s="62" t="inlineStr">
        <is>
          <t>URSAV005</t>
        </is>
      </c>
      <c r="D55" s="62" t="inlineStr">
        <is>
          <t>Urea</t>
        </is>
      </c>
      <c r="E55" s="62" t="n">
        <v>37</v>
      </c>
      <c r="F55" s="62" t="inlineStr">
        <is>
          <t>ARV</t>
        </is>
      </c>
      <c r="G55" s="62" t="inlineStr">
        <is>
          <t>SCHROEDAHL</t>
        </is>
      </c>
      <c r="H55" s="69" t="n"/>
      <c r="I55" s="69" t="n"/>
      <c r="J55" s="129" t="inlineStr">
        <is>
          <t>M237-ARV-3703B</t>
        </is>
      </c>
      <c r="K55" s="69" t="n"/>
      <c r="L55" s="69" t="n"/>
      <c r="M55" s="62" t="inlineStr">
        <is>
          <t>Valve Overhaul at Workshop</t>
        </is>
      </c>
      <c r="N55" s="69" t="inlineStr">
        <is>
          <t>LENOG_PCFSSB_RR_002</t>
        </is>
      </c>
      <c r="O55" s="69" t="inlineStr">
        <is>
          <t>LENOG_PCFSSB_CR_001</t>
        </is>
      </c>
      <c r="P55" s="69" t="inlineStr">
        <is>
          <t>LENOG_PCFSSB_FR_001</t>
        </is>
      </c>
      <c r="Q55" s="69" t="inlineStr">
        <is>
          <t>LENOG_PCFSSB_SR_001</t>
        </is>
      </c>
      <c r="R55" s="69" t="n"/>
      <c r="S55" s="69" t="n"/>
      <c r="T55" s="69" t="n"/>
      <c r="U55" s="69" t="n"/>
      <c r="V55" s="69" t="n"/>
      <c r="W55" s="62" t="inlineStr">
        <is>
          <t>3x1.1/2</t>
        </is>
      </c>
      <c r="X55" s="62" t="inlineStr">
        <is>
          <t>3x1.1/2</t>
        </is>
      </c>
      <c r="Y55" s="456" t="n"/>
      <c r="Z55" s="69" t="n"/>
      <c r="AA55" s="62" t="inlineStr">
        <is>
          <t>300x300</t>
        </is>
      </c>
      <c r="AB55" s="62" t="inlineStr">
        <is>
          <t>300x300</t>
        </is>
      </c>
      <c r="AC55" s="73" t="n"/>
      <c r="AD55" s="69" t="n"/>
      <c r="AE55" s="69" t="n"/>
      <c r="AF55" s="73" t="n"/>
      <c r="AG55" s="69" t="n"/>
      <c r="AH55" s="85" t="n"/>
    </row>
    <row r="56">
      <c r="A56" s="82" t="n">
        <v>55</v>
      </c>
      <c r="B56" s="75" t="n">
        <v>81753192</v>
      </c>
      <c r="C56" s="62" t="inlineStr">
        <is>
          <t>URSAV006</t>
        </is>
      </c>
      <c r="D56" s="62" t="inlineStr">
        <is>
          <t>Urea</t>
        </is>
      </c>
      <c r="E56" s="62" t="n">
        <v>37</v>
      </c>
      <c r="F56" s="62" t="inlineStr">
        <is>
          <t>ARV</t>
        </is>
      </c>
      <c r="G56" s="62" t="inlineStr">
        <is>
          <t>SCHROEDAHL</t>
        </is>
      </c>
      <c r="H56" s="69" t="n"/>
      <c r="I56" s="69" t="n"/>
      <c r="J56" s="129" t="inlineStr">
        <is>
          <t>M237-ARV-3713A</t>
        </is>
      </c>
      <c r="K56" s="69" t="n"/>
      <c r="L56" s="69" t="n"/>
      <c r="M56" s="62" t="inlineStr">
        <is>
          <t>Valve Overhaul at Workshop</t>
        </is>
      </c>
      <c r="N56" s="69" t="inlineStr">
        <is>
          <t>LENOG_PCFSSB_RR_002</t>
        </is>
      </c>
      <c r="O56" s="69" t="inlineStr">
        <is>
          <t>LENOG_PCFSSB_CR_001</t>
        </is>
      </c>
      <c r="P56" s="69" t="inlineStr">
        <is>
          <t>LENOG_PCFSSB_FR_001</t>
        </is>
      </c>
      <c r="Q56" s="69" t="inlineStr">
        <is>
          <t>LENOG_PCFSSB_SR_001</t>
        </is>
      </c>
      <c r="R56" s="69" t="n"/>
      <c r="S56" s="69" t="n"/>
      <c r="T56" s="69" t="n"/>
      <c r="U56" s="69" t="n"/>
      <c r="V56" s="69" t="n"/>
      <c r="W56" s="62" t="inlineStr">
        <is>
          <t>4x2</t>
        </is>
      </c>
      <c r="X56" s="62" t="inlineStr">
        <is>
          <t>4x2</t>
        </is>
      </c>
      <c r="Y56" s="456" t="n"/>
      <c r="Z56" s="69" t="n"/>
      <c r="AA56" s="62" t="inlineStr">
        <is>
          <t>150x150</t>
        </is>
      </c>
      <c r="AB56" s="62" t="inlineStr">
        <is>
          <t>150x150</t>
        </is>
      </c>
      <c r="AC56" s="73" t="n"/>
      <c r="AD56" s="69" t="n"/>
      <c r="AE56" s="69" t="n"/>
      <c r="AF56" s="73" t="n"/>
      <c r="AG56" s="69" t="n"/>
      <c r="AH56" s="85" t="n"/>
    </row>
    <row r="57">
      <c r="A57" s="82" t="n">
        <v>56</v>
      </c>
      <c r="B57" s="75" t="n">
        <v>81753193</v>
      </c>
      <c r="C57" s="62" t="inlineStr">
        <is>
          <t>URSAV007</t>
        </is>
      </c>
      <c r="D57" s="62" t="inlineStr">
        <is>
          <t>Urea</t>
        </is>
      </c>
      <c r="E57" s="62" t="n">
        <v>37</v>
      </c>
      <c r="F57" s="62" t="inlineStr">
        <is>
          <t>ARV</t>
        </is>
      </c>
      <c r="G57" s="62" t="inlineStr">
        <is>
          <t>SCHROEDAHL</t>
        </is>
      </c>
      <c r="H57" s="69" t="n"/>
      <c r="I57" s="69" t="n"/>
      <c r="J57" s="129" t="inlineStr">
        <is>
          <t>M237-ARV-3713B</t>
        </is>
      </c>
      <c r="K57" s="69" t="n"/>
      <c r="L57" s="69" t="n"/>
      <c r="M57" s="62" t="inlineStr">
        <is>
          <t>Valve Overhaul at Workshop</t>
        </is>
      </c>
      <c r="N57" s="69" t="inlineStr">
        <is>
          <t>LENOG_PCFSSB_RR_002</t>
        </is>
      </c>
      <c r="O57" s="69" t="inlineStr">
        <is>
          <t>LENOG_PCFSSB_CR_001</t>
        </is>
      </c>
      <c r="P57" s="69" t="inlineStr">
        <is>
          <t>LENOG_PCFSSB_FR_001</t>
        </is>
      </c>
      <c r="Q57" s="69" t="inlineStr">
        <is>
          <t>LENOG_PCFSSB_SR_001</t>
        </is>
      </c>
      <c r="R57" s="69" t="n"/>
      <c r="S57" s="69" t="n"/>
      <c r="T57" s="69" t="n"/>
      <c r="U57" s="69" t="n"/>
      <c r="V57" s="69" t="n"/>
      <c r="W57" s="62" t="inlineStr">
        <is>
          <t>4x2</t>
        </is>
      </c>
      <c r="X57" s="62" t="inlineStr">
        <is>
          <t>4x2</t>
        </is>
      </c>
      <c r="Y57" s="456" t="n"/>
      <c r="Z57" s="69" t="n"/>
      <c r="AA57" s="62" t="inlineStr">
        <is>
          <t>150x150</t>
        </is>
      </c>
      <c r="AB57" s="62" t="inlineStr">
        <is>
          <t>150x150</t>
        </is>
      </c>
      <c r="AC57" s="73" t="n"/>
      <c r="AD57" s="69" t="n"/>
      <c r="AE57" s="69" t="n"/>
      <c r="AF57" s="73" t="n"/>
      <c r="AG57" s="69" t="n"/>
      <c r="AH57" s="85" t="n"/>
    </row>
    <row r="58">
      <c r="A58" s="82" t="n">
        <v>57</v>
      </c>
      <c r="B58" s="75" t="n">
        <v>81753196</v>
      </c>
      <c r="C58" s="62" t="inlineStr">
        <is>
          <t>UTSAV001</t>
        </is>
      </c>
      <c r="D58" s="62" t="inlineStr">
        <is>
          <t>Utility</t>
        </is>
      </c>
      <c r="E58" s="62" t="n">
        <v>51</v>
      </c>
      <c r="F58" s="62" t="inlineStr">
        <is>
          <t>ARV</t>
        </is>
      </c>
      <c r="G58" s="62" t="inlineStr">
        <is>
          <t>SCHROEDAHL</t>
        </is>
      </c>
      <c r="H58" s="69" t="n"/>
      <c r="I58" s="69" t="n"/>
      <c r="J58" s="129" t="inlineStr">
        <is>
          <t>M237-ARV-5113A</t>
        </is>
      </c>
      <c r="K58" s="69" t="n"/>
      <c r="L58" s="69" t="n"/>
      <c r="M58" s="62" t="inlineStr">
        <is>
          <t>Valve Overhaul at Workshop</t>
        </is>
      </c>
      <c r="N58" s="69" t="inlineStr">
        <is>
          <t>LENOG_PCFSSB_RR_002</t>
        </is>
      </c>
      <c r="O58" s="69" t="inlineStr">
        <is>
          <t>LENOG_PCFSSB_CR_001</t>
        </is>
      </c>
      <c r="P58" s="69" t="inlineStr">
        <is>
          <t>LENOG_PCFSSB_FR_001</t>
        </is>
      </c>
      <c r="Q58" s="69" t="inlineStr">
        <is>
          <t>LENOG_PCFSSB_SR_001</t>
        </is>
      </c>
      <c r="R58" s="69" t="n"/>
      <c r="S58" s="69" t="n"/>
      <c r="T58" s="69" t="n"/>
      <c r="U58" s="69" t="n"/>
      <c r="V58" s="69" t="n"/>
      <c r="W58" s="62" t="inlineStr">
        <is>
          <t>8x4</t>
        </is>
      </c>
      <c r="X58" s="62" t="inlineStr">
        <is>
          <t>8x4</t>
        </is>
      </c>
      <c r="Y58" s="456" t="n"/>
      <c r="Z58" s="69" t="n"/>
      <c r="AA58" s="62" t="n">
        <v>150</v>
      </c>
      <c r="AB58" s="62" t="n">
        <v>150</v>
      </c>
      <c r="AC58" s="73" t="n"/>
      <c r="AD58" s="69" t="n"/>
      <c r="AE58" s="69" t="n"/>
      <c r="AF58" s="73" t="n"/>
      <c r="AG58" s="69" t="n"/>
      <c r="AH58" s="85" t="n"/>
    </row>
    <row r="59">
      <c r="A59" s="82" t="n">
        <v>58</v>
      </c>
      <c r="B59" s="75" t="n">
        <v>81753197</v>
      </c>
      <c r="C59" s="62" t="inlineStr">
        <is>
          <t>UTSAV002</t>
        </is>
      </c>
      <c r="D59" s="62" t="inlineStr">
        <is>
          <t>Utility</t>
        </is>
      </c>
      <c r="E59" s="62" t="n">
        <v>51</v>
      </c>
      <c r="F59" s="62" t="inlineStr">
        <is>
          <t>ARV</t>
        </is>
      </c>
      <c r="G59" s="62" t="inlineStr">
        <is>
          <t>SCHROEDAHL</t>
        </is>
      </c>
      <c r="H59" s="69" t="n"/>
      <c r="I59" s="69" t="n"/>
      <c r="J59" s="129" t="inlineStr">
        <is>
          <t>M237-ARV-5113B</t>
        </is>
      </c>
      <c r="K59" s="69" t="n"/>
      <c r="L59" s="69" t="n"/>
      <c r="M59" s="62" t="inlineStr">
        <is>
          <t>Valve Overhaul at Workshop</t>
        </is>
      </c>
      <c r="N59" s="69" t="inlineStr">
        <is>
          <t>LENOG_PCFSSB_RR_002</t>
        </is>
      </c>
      <c r="O59" s="69" t="inlineStr">
        <is>
          <t>LENOG_PCFSSB_CR_001</t>
        </is>
      </c>
      <c r="P59" s="69" t="inlineStr">
        <is>
          <t>LENOG_PCFSSB_FR_001</t>
        </is>
      </c>
      <c r="Q59" s="69" t="inlineStr">
        <is>
          <t>LENOG_PCFSSB_SR_001</t>
        </is>
      </c>
      <c r="R59" s="69" t="n"/>
      <c r="S59" s="69" t="n"/>
      <c r="T59" s="69" t="n"/>
      <c r="U59" s="69" t="n"/>
      <c r="V59" s="69" t="n"/>
      <c r="W59" s="62" t="inlineStr">
        <is>
          <t>8x4</t>
        </is>
      </c>
      <c r="X59" s="62" t="inlineStr">
        <is>
          <t>8x4</t>
        </is>
      </c>
      <c r="Y59" s="456" t="n"/>
      <c r="Z59" s="69" t="n"/>
      <c r="AA59" s="62" t="n">
        <v>150</v>
      </c>
      <c r="AB59" s="62" t="n">
        <v>150</v>
      </c>
      <c r="AC59" s="73" t="n"/>
      <c r="AD59" s="69" t="n"/>
      <c r="AE59" s="69" t="n"/>
      <c r="AF59" s="73" t="n"/>
      <c r="AG59" s="69" t="n"/>
      <c r="AH59" s="85" t="n"/>
    </row>
    <row r="60">
      <c r="A60" s="82" t="n">
        <v>59</v>
      </c>
      <c r="B60" s="75" t="n">
        <v>81753198</v>
      </c>
      <c r="C60" s="62" t="inlineStr">
        <is>
          <t>UTSAV003</t>
        </is>
      </c>
      <c r="D60" s="62" t="inlineStr">
        <is>
          <t>Utility</t>
        </is>
      </c>
      <c r="E60" s="62" t="n">
        <v>51</v>
      </c>
      <c r="F60" s="62" t="inlineStr">
        <is>
          <t>ARV</t>
        </is>
      </c>
      <c r="G60" s="62" t="inlineStr">
        <is>
          <t>SCHROEDAHL</t>
        </is>
      </c>
      <c r="H60" s="69" t="n"/>
      <c r="I60" s="69" t="n"/>
      <c r="J60" s="129" t="inlineStr">
        <is>
          <t>M237-ARV-5113C</t>
        </is>
      </c>
      <c r="K60" s="69" t="n"/>
      <c r="L60" s="69" t="n"/>
      <c r="M60" s="62" t="inlineStr">
        <is>
          <t>Valve Overhaul at Workshop</t>
        </is>
      </c>
      <c r="N60" s="69" t="inlineStr">
        <is>
          <t>LENOG_PCFSSB_RR_002</t>
        </is>
      </c>
      <c r="O60" s="69" t="inlineStr">
        <is>
          <t>LENOG_PCFSSB_CR_001</t>
        </is>
      </c>
      <c r="P60" s="69" t="inlineStr">
        <is>
          <t>LENOG_PCFSSB_FR_001</t>
        </is>
      </c>
      <c r="Q60" s="69" t="inlineStr">
        <is>
          <t>LENOG_PCFSSB_SR_001</t>
        </is>
      </c>
      <c r="R60" s="69" t="n"/>
      <c r="S60" s="69" t="n"/>
      <c r="T60" s="69" t="n"/>
      <c r="U60" s="69" t="n"/>
      <c r="V60" s="69" t="n"/>
      <c r="W60" s="62" t="inlineStr">
        <is>
          <t>8x4</t>
        </is>
      </c>
      <c r="X60" s="62" t="inlineStr">
        <is>
          <t>8x4</t>
        </is>
      </c>
      <c r="Y60" s="456" t="n"/>
      <c r="Z60" s="69" t="n"/>
      <c r="AA60" s="62" t="n">
        <v>150</v>
      </c>
      <c r="AB60" s="62" t="n">
        <v>150</v>
      </c>
      <c r="AC60" s="73" t="n"/>
      <c r="AD60" s="69" t="n"/>
      <c r="AE60" s="69" t="n"/>
      <c r="AF60" s="73" t="n"/>
      <c r="AG60" s="69" t="n"/>
      <c r="AH60" s="85" t="n"/>
    </row>
    <row r="61">
      <c r="A61" s="82" t="n">
        <v>60</v>
      </c>
      <c r="B61" s="75" t="n">
        <v>81753194</v>
      </c>
      <c r="C61" s="62" t="inlineStr">
        <is>
          <t>UTSAV004</t>
        </is>
      </c>
      <c r="D61" s="62" t="inlineStr">
        <is>
          <t>Utility</t>
        </is>
      </c>
      <c r="E61" s="62" t="n">
        <v>52</v>
      </c>
      <c r="F61" s="62" t="inlineStr">
        <is>
          <t>ARV</t>
        </is>
      </c>
      <c r="G61" s="62" t="inlineStr">
        <is>
          <t>SCHROEDAHL</t>
        </is>
      </c>
      <c r="H61" s="69" t="n"/>
      <c r="I61" s="69" t="n"/>
      <c r="J61" s="129" t="inlineStr">
        <is>
          <t>M237-ARV-5211A</t>
        </is>
      </c>
      <c r="K61" s="69" t="n"/>
      <c r="L61" s="69" t="n"/>
      <c r="M61" s="62" t="inlineStr">
        <is>
          <t>Valve Overhaul at Workshop</t>
        </is>
      </c>
      <c r="N61" s="69" t="inlineStr">
        <is>
          <t>LENOG_PCFSSB_RR_002</t>
        </is>
      </c>
      <c r="O61" s="69" t="inlineStr">
        <is>
          <t>LENOG_PCFSSB_CR_001</t>
        </is>
      </c>
      <c r="P61" s="69" t="inlineStr">
        <is>
          <t>LENOG_PCFSSB_FR_001</t>
        </is>
      </c>
      <c r="Q61" s="69" t="inlineStr">
        <is>
          <t>LENOG_PCFSSB_SR_001</t>
        </is>
      </c>
      <c r="R61" s="69" t="n"/>
      <c r="S61" s="69" t="n"/>
      <c r="T61" s="69" t="n"/>
      <c r="U61" s="69" t="n"/>
      <c r="V61" s="69" t="n"/>
      <c r="W61" s="62" t="inlineStr">
        <is>
          <t>6x2</t>
        </is>
      </c>
      <c r="X61" s="62" t="inlineStr">
        <is>
          <t>6x2</t>
        </is>
      </c>
      <c r="Y61" s="456" t="n"/>
      <c r="Z61" s="69" t="n"/>
      <c r="AA61" s="62" t="n">
        <v>600</v>
      </c>
      <c r="AB61" s="62" t="n">
        <v>600</v>
      </c>
      <c r="AC61" s="73" t="n"/>
      <c r="AD61" s="69" t="n"/>
      <c r="AE61" s="69" t="n"/>
      <c r="AF61" s="73" t="n"/>
      <c r="AG61" s="69" t="n"/>
      <c r="AH61" s="85" t="n"/>
    </row>
    <row r="62">
      <c r="A62" s="82" t="n">
        <v>61</v>
      </c>
      <c r="B62" s="75" t="n">
        <v>81753195</v>
      </c>
      <c r="C62" s="62" t="inlineStr">
        <is>
          <t>UTSAV005</t>
        </is>
      </c>
      <c r="D62" s="62" t="inlineStr">
        <is>
          <t>Utility</t>
        </is>
      </c>
      <c r="E62" s="62" t="n">
        <v>52</v>
      </c>
      <c r="F62" s="62" t="inlineStr">
        <is>
          <t>ARV</t>
        </is>
      </c>
      <c r="G62" s="62" t="inlineStr">
        <is>
          <t>SCHROEDAHL</t>
        </is>
      </c>
      <c r="H62" s="69" t="n"/>
      <c r="I62" s="69" t="n"/>
      <c r="J62" s="129" t="inlineStr">
        <is>
          <t>M237-ARV-5211B</t>
        </is>
      </c>
      <c r="K62" s="69" t="n"/>
      <c r="L62" s="69" t="n"/>
      <c r="M62" s="62" t="inlineStr">
        <is>
          <t>Valve Overhaul at Workshop</t>
        </is>
      </c>
      <c r="N62" s="69" t="inlineStr">
        <is>
          <t>LENOG_PCFSSB_RR_002</t>
        </is>
      </c>
      <c r="O62" s="69" t="inlineStr">
        <is>
          <t>LENOG_PCFSSB_CR_001</t>
        </is>
      </c>
      <c r="P62" s="69" t="inlineStr">
        <is>
          <t>LENOG_PCFSSB_FR_001</t>
        </is>
      </c>
      <c r="Q62" s="69" t="inlineStr">
        <is>
          <t>LENOG_PCFSSB_SR_001</t>
        </is>
      </c>
      <c r="R62" s="69" t="n"/>
      <c r="S62" s="69" t="n"/>
      <c r="T62" s="69" t="n"/>
      <c r="U62" s="69" t="n"/>
      <c r="V62" s="69" t="n"/>
      <c r="W62" s="62" t="inlineStr">
        <is>
          <t>6x2</t>
        </is>
      </c>
      <c r="X62" s="62" t="inlineStr">
        <is>
          <t>6x2</t>
        </is>
      </c>
      <c r="Y62" s="456" t="n"/>
      <c r="Z62" s="69" t="n"/>
      <c r="AA62" s="62" t="n">
        <v>600</v>
      </c>
      <c r="AB62" s="62" t="n">
        <v>600</v>
      </c>
      <c r="AC62" s="73" t="n"/>
      <c r="AD62" s="69" t="n"/>
      <c r="AE62" s="69" t="n"/>
      <c r="AF62" s="73" t="n"/>
      <c r="AG62" s="69" t="n"/>
      <c r="AH62" s="85" t="n"/>
    </row>
    <row r="63">
      <c r="A63" s="82" t="n">
        <v>62</v>
      </c>
      <c r="B63" s="75" t="n">
        <v>81768258</v>
      </c>
      <c r="C63" s="62" t="inlineStr">
        <is>
          <t>TA25AWR056</t>
        </is>
      </c>
      <c r="D63" s="62" t="inlineStr">
        <is>
          <t>Ammonia</t>
        </is>
      </c>
      <c r="E63" s="62" t="inlineStr">
        <is>
          <t>Unit 18</t>
        </is>
      </c>
      <c r="F63" s="62" t="inlineStr">
        <is>
          <t>GATE VALVE</t>
        </is>
      </c>
      <c r="G63" s="62" t="inlineStr">
        <is>
          <t>PK VALVE</t>
        </is>
      </c>
      <c r="H63" s="69" t="n"/>
      <c r="I63" s="69" t="n"/>
      <c r="J63" s="129" t="inlineStr">
        <is>
          <t>M237-8GTV-1801</t>
        </is>
      </c>
      <c r="K63" s="69" t="n"/>
      <c r="L63" s="69" t="n"/>
      <c r="M63" s="62" t="inlineStr">
        <is>
          <t>Valve Packing Replacement</t>
        </is>
      </c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2" t="n">
        <v>8</v>
      </c>
      <c r="X63" s="62" t="n">
        <v>8</v>
      </c>
      <c r="Y63" s="456" t="n"/>
      <c r="Z63" s="69" t="n"/>
      <c r="AA63" s="62" t="n">
        <v>1500</v>
      </c>
      <c r="AB63" s="62" t="n">
        <v>1500</v>
      </c>
      <c r="AC63" s="73" t="n"/>
      <c r="AD63" s="69" t="n"/>
      <c r="AE63" s="69" t="n"/>
      <c r="AF63" s="73" t="n"/>
      <c r="AG63" s="69" t="n"/>
      <c r="AH63" s="85" t="n"/>
    </row>
    <row r="64">
      <c r="A64" s="82" t="n">
        <v>63</v>
      </c>
      <c r="B64" s="75" t="n">
        <v>81768259</v>
      </c>
      <c r="C64" s="62" t="inlineStr">
        <is>
          <t>TA25AWR056</t>
        </is>
      </c>
      <c r="D64" s="62" t="inlineStr">
        <is>
          <t>Ammonia</t>
        </is>
      </c>
      <c r="E64" s="62" t="inlineStr">
        <is>
          <t>Unit 18</t>
        </is>
      </c>
      <c r="F64" s="62" t="inlineStr">
        <is>
          <t>GATE VALVE</t>
        </is>
      </c>
      <c r="G64" s="62" t="inlineStr">
        <is>
          <t>PK VALVE</t>
        </is>
      </c>
      <c r="H64" s="69" t="n"/>
      <c r="I64" s="69" t="n"/>
      <c r="J64" s="129" t="inlineStr">
        <is>
          <t>M237-4GTV-1801</t>
        </is>
      </c>
      <c r="K64" s="69" t="n"/>
      <c r="L64" s="69" t="n"/>
      <c r="M64" s="62" t="inlineStr">
        <is>
          <t>Valve Packing Replacement</t>
        </is>
      </c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2" t="n">
        <v>4</v>
      </c>
      <c r="X64" s="62" t="n">
        <v>4</v>
      </c>
      <c r="Y64" s="456" t="n"/>
      <c r="Z64" s="69" t="n"/>
      <c r="AA64" s="62" t="n">
        <v>300</v>
      </c>
      <c r="AB64" s="62" t="n">
        <v>300</v>
      </c>
      <c r="AC64" s="73" t="n"/>
      <c r="AD64" s="69" t="n"/>
      <c r="AE64" s="69" t="n"/>
      <c r="AF64" s="73" t="n"/>
      <c r="AG64" s="69" t="n"/>
      <c r="AH64" s="85" t="n"/>
    </row>
    <row r="65">
      <c r="A65" s="82" t="n">
        <v>64</v>
      </c>
      <c r="B65" s="75" t="n">
        <v>81768260</v>
      </c>
      <c r="C65" s="62" t="inlineStr">
        <is>
          <t>TA25AWR056</t>
        </is>
      </c>
      <c r="D65" s="62" t="inlineStr">
        <is>
          <t>Ammonia</t>
        </is>
      </c>
      <c r="E65" s="62" t="inlineStr">
        <is>
          <t>Unit 18</t>
        </is>
      </c>
      <c r="F65" s="62" t="inlineStr">
        <is>
          <t>GATE VALVE</t>
        </is>
      </c>
      <c r="G65" s="62" t="inlineStr">
        <is>
          <t>PK VALVE</t>
        </is>
      </c>
      <c r="H65" s="69" t="n"/>
      <c r="I65" s="69" t="n"/>
      <c r="J65" s="129" t="inlineStr">
        <is>
          <t>M237-4GTV-1802</t>
        </is>
      </c>
      <c r="K65" s="69" t="n"/>
      <c r="L65" s="69" t="n"/>
      <c r="M65" s="62" t="inlineStr">
        <is>
          <t>Valve Packing Replacement</t>
        </is>
      </c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2" t="n">
        <v>4</v>
      </c>
      <c r="X65" s="62" t="n">
        <v>4</v>
      </c>
      <c r="Y65" s="456" t="n"/>
      <c r="Z65" s="69" t="n"/>
      <c r="AA65" s="62" t="n">
        <v>300</v>
      </c>
      <c r="AB65" s="62" t="n">
        <v>300</v>
      </c>
      <c r="AC65" s="73" t="n"/>
      <c r="AD65" s="69" t="n"/>
      <c r="AE65" s="69" t="n"/>
      <c r="AF65" s="73" t="n"/>
      <c r="AG65" s="69" t="n"/>
      <c r="AH65" s="85" t="n"/>
    </row>
    <row r="66">
      <c r="A66" s="82" t="n">
        <v>65</v>
      </c>
      <c r="B66" s="75" t="n">
        <v>81768341</v>
      </c>
      <c r="C66" s="62" t="inlineStr">
        <is>
          <t>TA25AWR056</t>
        </is>
      </c>
      <c r="D66" s="62" t="inlineStr">
        <is>
          <t>Ammonia</t>
        </is>
      </c>
      <c r="E66" s="62" t="inlineStr">
        <is>
          <t>Unit 18</t>
        </is>
      </c>
      <c r="F66" s="62" t="inlineStr">
        <is>
          <t>GATE VALVE</t>
        </is>
      </c>
      <c r="G66" s="62" t="inlineStr">
        <is>
          <t>PK VALVE</t>
        </is>
      </c>
      <c r="H66" s="69" t="n"/>
      <c r="I66" s="69" t="n"/>
      <c r="J66" s="129" t="inlineStr">
        <is>
          <t>M237-4GTV-1803</t>
        </is>
      </c>
      <c r="K66" s="69" t="n"/>
      <c r="L66" s="69" t="n"/>
      <c r="M66" s="62" t="inlineStr">
        <is>
          <t>Valve Packing Replacement</t>
        </is>
      </c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2" t="n">
        <v>4</v>
      </c>
      <c r="X66" s="62" t="n">
        <v>4</v>
      </c>
      <c r="Y66" s="456" t="n"/>
      <c r="Z66" s="69" t="n"/>
      <c r="AA66" s="62" t="n">
        <v>300</v>
      </c>
      <c r="AB66" s="62" t="n">
        <v>300</v>
      </c>
      <c r="AC66" s="73" t="n"/>
      <c r="AD66" s="69" t="n"/>
      <c r="AE66" s="69" t="n"/>
      <c r="AF66" s="73" t="n"/>
      <c r="AG66" s="69" t="n"/>
      <c r="AH66" s="85" t="n"/>
    </row>
    <row r="67">
      <c r="A67" s="82" t="n">
        <v>66</v>
      </c>
      <c r="B67" s="75" t="n">
        <v>81768342</v>
      </c>
      <c r="C67" s="62" t="inlineStr">
        <is>
          <t>TA25AWR056</t>
        </is>
      </c>
      <c r="D67" s="62" t="inlineStr">
        <is>
          <t>Ammonia</t>
        </is>
      </c>
      <c r="E67" s="62" t="inlineStr">
        <is>
          <t>Unit 18</t>
        </is>
      </c>
      <c r="F67" s="62" t="inlineStr">
        <is>
          <t>GATE VALVE</t>
        </is>
      </c>
      <c r="G67" s="62" t="inlineStr">
        <is>
          <t>PK VALVE</t>
        </is>
      </c>
      <c r="H67" s="69" t="n"/>
      <c r="I67" s="69" t="n"/>
      <c r="J67" s="129" t="inlineStr">
        <is>
          <t>M237-6GTV-1801</t>
        </is>
      </c>
      <c r="K67" s="69" t="n"/>
      <c r="L67" s="69" t="n"/>
      <c r="M67" s="62" t="inlineStr">
        <is>
          <t>Valve Packing Replacement</t>
        </is>
      </c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2" t="n">
        <v>6</v>
      </c>
      <c r="X67" s="62" t="n">
        <v>6</v>
      </c>
      <c r="Y67" s="456" t="n"/>
      <c r="Z67" s="69" t="n"/>
      <c r="AA67" s="62" t="n">
        <v>300</v>
      </c>
      <c r="AB67" s="62" t="n">
        <v>300</v>
      </c>
      <c r="AC67" s="73" t="n"/>
      <c r="AD67" s="69" t="n"/>
      <c r="AE67" s="69" t="n"/>
      <c r="AF67" s="73" t="n"/>
      <c r="AG67" s="69" t="n"/>
      <c r="AH67" s="85" t="n"/>
    </row>
    <row r="68">
      <c r="A68" s="82" t="n">
        <v>67</v>
      </c>
      <c r="B68" s="75" t="n">
        <v>81768344</v>
      </c>
      <c r="C68" s="62" t="inlineStr">
        <is>
          <t>TA25AWR056</t>
        </is>
      </c>
      <c r="D68" s="62" t="inlineStr">
        <is>
          <t>Ammonia</t>
        </is>
      </c>
      <c r="E68" s="62" t="inlineStr">
        <is>
          <t>Unit 19</t>
        </is>
      </c>
      <c r="F68" s="62" t="inlineStr">
        <is>
          <t>GATE VALVE</t>
        </is>
      </c>
      <c r="G68" s="62" t="inlineStr">
        <is>
          <t>PK VALVE</t>
        </is>
      </c>
      <c r="H68" s="69" t="n"/>
      <c r="I68" s="69" t="n"/>
      <c r="J68" s="129" t="inlineStr">
        <is>
          <t>M237-14GTV-1901</t>
        </is>
      </c>
      <c r="K68" s="69" t="n"/>
      <c r="L68" s="69" t="n"/>
      <c r="M68" s="62" t="inlineStr">
        <is>
          <t>Valve Packing Replacement</t>
        </is>
      </c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2" t="n">
        <v>14</v>
      </c>
      <c r="X68" s="62" t="n">
        <v>14</v>
      </c>
      <c r="Y68" s="456" t="n"/>
      <c r="Z68" s="69" t="n"/>
      <c r="AA68" s="62" t="n">
        <v>300</v>
      </c>
      <c r="AB68" s="62" t="n">
        <v>300</v>
      </c>
      <c r="AC68" s="73" t="n"/>
      <c r="AD68" s="69" t="n"/>
      <c r="AE68" s="69" t="n"/>
      <c r="AF68" s="73" t="n"/>
      <c r="AG68" s="69" t="n"/>
      <c r="AH68" s="85" t="n"/>
    </row>
    <row r="69">
      <c r="A69" s="82" t="n">
        <v>68</v>
      </c>
      <c r="B69" s="75" t="n">
        <v>81768358</v>
      </c>
      <c r="C69" s="62" t="inlineStr">
        <is>
          <t>TA25AWR056</t>
        </is>
      </c>
      <c r="D69" s="62" t="inlineStr">
        <is>
          <t>Ammonia</t>
        </is>
      </c>
      <c r="E69" s="62" t="inlineStr">
        <is>
          <t>Unit 19</t>
        </is>
      </c>
      <c r="F69" s="62" t="inlineStr">
        <is>
          <t>GATE VALVE</t>
        </is>
      </c>
      <c r="G69" s="62" t="inlineStr">
        <is>
          <t>PK VALVE</t>
        </is>
      </c>
      <c r="H69" s="69" t="n"/>
      <c r="I69" s="69" t="n"/>
      <c r="J69" s="129" t="inlineStr">
        <is>
          <t>M237-12GTV-1901</t>
        </is>
      </c>
      <c r="K69" s="69" t="n"/>
      <c r="L69" s="69" t="n"/>
      <c r="M69" s="62" t="inlineStr">
        <is>
          <t>Valve Packing Replacement</t>
        </is>
      </c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2" t="n">
        <v>12</v>
      </c>
      <c r="X69" s="62" t="n">
        <v>12</v>
      </c>
      <c r="Y69" s="456" t="n"/>
      <c r="Z69" s="69" t="n"/>
      <c r="AA69" s="62" t="n">
        <v>300</v>
      </c>
      <c r="AB69" s="62" t="n">
        <v>300</v>
      </c>
      <c r="AC69" s="73" t="n"/>
      <c r="AD69" s="69" t="n"/>
      <c r="AE69" s="69" t="n"/>
      <c r="AF69" s="73" t="n"/>
      <c r="AG69" s="69" t="n"/>
      <c r="AH69" s="85" t="n"/>
    </row>
    <row r="70">
      <c r="A70" s="82" t="n">
        <v>69</v>
      </c>
      <c r="B70" s="75" t="n">
        <v>81753659</v>
      </c>
      <c r="C70" s="62" t="inlineStr">
        <is>
          <t>UTSMC035</t>
        </is>
      </c>
      <c r="D70" s="62" t="inlineStr">
        <is>
          <t>Utility</t>
        </is>
      </c>
      <c r="E70" s="62" t="n">
        <v>51</v>
      </c>
      <c r="F70" s="62" t="inlineStr">
        <is>
          <t>GLOBE VALVE</t>
        </is>
      </c>
      <c r="G70" s="62" t="inlineStr">
        <is>
          <t>BFE</t>
        </is>
      </c>
      <c r="H70" s="69" t="n"/>
      <c r="I70" s="69" t="n"/>
      <c r="J70" s="129" t="inlineStr">
        <is>
          <t>M237-1GBV-5101A</t>
        </is>
      </c>
      <c r="K70" s="69" t="n"/>
      <c r="L70" s="69" t="n"/>
      <c r="M70" s="62" t="inlineStr">
        <is>
          <t>Valve Packing Replacement</t>
        </is>
      </c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2" t="n">
        <v>1</v>
      </c>
      <c r="X70" s="62" t="n">
        <v>1</v>
      </c>
      <c r="Y70" s="456" t="n"/>
      <c r="Z70" s="69" t="n"/>
      <c r="AA70" s="62" t="n">
        <v>800</v>
      </c>
      <c r="AB70" s="62" t="n">
        <v>800</v>
      </c>
      <c r="AC70" s="73" t="n"/>
      <c r="AD70" s="69" t="n"/>
      <c r="AE70" s="69" t="n"/>
      <c r="AF70" s="73" t="n"/>
      <c r="AG70" s="69" t="n"/>
      <c r="AH70" s="85" t="n"/>
    </row>
    <row r="71">
      <c r="A71" s="82" t="n">
        <v>70</v>
      </c>
      <c r="B71" s="75" t="n">
        <v>81768359</v>
      </c>
      <c r="C71" s="62" t="inlineStr">
        <is>
          <t>TA25AWR056</t>
        </is>
      </c>
      <c r="D71" s="62" t="inlineStr">
        <is>
          <t>Ammonia</t>
        </is>
      </c>
      <c r="E71" s="62" t="inlineStr">
        <is>
          <t>Unit 18</t>
        </is>
      </c>
      <c r="F71" s="62" t="inlineStr">
        <is>
          <t>GATE VALVE</t>
        </is>
      </c>
      <c r="G71" s="62" t="inlineStr">
        <is>
          <t>PK VALVE</t>
        </is>
      </c>
      <c r="H71" s="69" t="n"/>
      <c r="I71" s="69" t="n"/>
      <c r="J71" s="129" t="inlineStr">
        <is>
          <t>M237-8GTV-1807</t>
        </is>
      </c>
      <c r="K71" s="69" t="n"/>
      <c r="L71" s="69" t="n"/>
      <c r="M71" s="62" t="inlineStr">
        <is>
          <t>Valve Packing Replacement</t>
        </is>
      </c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2" t="n">
        <v>8</v>
      </c>
      <c r="X71" s="62" t="n">
        <v>8</v>
      </c>
      <c r="Y71" s="456" t="n"/>
      <c r="Z71" s="69" t="n"/>
      <c r="AA71" s="62" t="n">
        <v>300</v>
      </c>
      <c r="AB71" s="62" t="n">
        <v>300</v>
      </c>
      <c r="AC71" s="73" t="n"/>
      <c r="AD71" s="69" t="n"/>
      <c r="AE71" s="69" t="n"/>
      <c r="AF71" s="73" t="n"/>
      <c r="AG71" s="69" t="n"/>
      <c r="AH71" s="85" t="n"/>
    </row>
    <row r="72">
      <c r="A72" s="82" t="n">
        <v>71</v>
      </c>
      <c r="B72" s="75" t="n">
        <v>81768360</v>
      </c>
      <c r="C72" s="62" t="inlineStr">
        <is>
          <t>TA25AWR056</t>
        </is>
      </c>
      <c r="D72" s="62" t="inlineStr">
        <is>
          <t>Ammonia</t>
        </is>
      </c>
      <c r="E72" s="62" t="inlineStr">
        <is>
          <t>Unit 18</t>
        </is>
      </c>
      <c r="F72" s="62" t="inlineStr">
        <is>
          <t>GATE VALVE</t>
        </is>
      </c>
      <c r="G72" s="62" t="inlineStr">
        <is>
          <t>PK VALVE</t>
        </is>
      </c>
      <c r="H72" s="69" t="n"/>
      <c r="I72" s="69" t="n"/>
      <c r="J72" s="129" t="inlineStr">
        <is>
          <t>M237-8GTV-1806</t>
        </is>
      </c>
      <c r="K72" s="69" t="n"/>
      <c r="L72" s="69" t="n"/>
      <c r="M72" s="62" t="inlineStr">
        <is>
          <t>Valve Packing Replacement</t>
        </is>
      </c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2" t="n">
        <v>8</v>
      </c>
      <c r="X72" s="62" t="n">
        <v>8</v>
      </c>
      <c r="Y72" s="456" t="n"/>
      <c r="Z72" s="69" t="n"/>
      <c r="AA72" s="62" t="n">
        <v>300</v>
      </c>
      <c r="AB72" s="62" t="n">
        <v>300</v>
      </c>
      <c r="AC72" s="73" t="n"/>
      <c r="AD72" s="69" t="n"/>
      <c r="AE72" s="69" t="n"/>
      <c r="AF72" s="73" t="n"/>
      <c r="AG72" s="69" t="n"/>
      <c r="AH72" s="85" t="n"/>
    </row>
    <row r="73">
      <c r="A73" s="82" t="n">
        <v>72</v>
      </c>
      <c r="B73" s="75" t="n">
        <v>81768421</v>
      </c>
      <c r="C73" s="62" t="inlineStr">
        <is>
          <t>TA25AWR056</t>
        </is>
      </c>
      <c r="D73" s="62" t="inlineStr">
        <is>
          <t>Ammonia</t>
        </is>
      </c>
      <c r="E73" s="62" t="inlineStr">
        <is>
          <t>Unit 18</t>
        </is>
      </c>
      <c r="F73" s="62" t="inlineStr">
        <is>
          <t>GLOBE VALVE</t>
        </is>
      </c>
      <c r="G73" s="62" t="inlineStr">
        <is>
          <t>PK VALVE</t>
        </is>
      </c>
      <c r="H73" s="69" t="n"/>
      <c r="I73" s="69" t="n"/>
      <c r="J73" s="129" t="inlineStr">
        <is>
          <t>M237-4GBV-1801</t>
        </is>
      </c>
      <c r="K73" s="69" t="n"/>
      <c r="L73" s="69" t="n"/>
      <c r="M73" s="62" t="inlineStr">
        <is>
          <t>Valve Packing Replacement</t>
        </is>
      </c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2" t="n">
        <v>4</v>
      </c>
      <c r="X73" s="62" t="n">
        <v>4</v>
      </c>
      <c r="Y73" s="456" t="n"/>
      <c r="Z73" s="69" t="n"/>
      <c r="AA73" s="62" t="n">
        <v>300</v>
      </c>
      <c r="AB73" s="62" t="n">
        <v>300</v>
      </c>
      <c r="AC73" s="73" t="n"/>
      <c r="AD73" s="69" t="n"/>
      <c r="AE73" s="69" t="n"/>
      <c r="AF73" s="73" t="n"/>
      <c r="AG73" s="69" t="n"/>
      <c r="AH73" s="85" t="n"/>
    </row>
    <row r="74">
      <c r="A74" s="82" t="n">
        <v>73</v>
      </c>
      <c r="B74" s="75" t="n">
        <v>81768422</v>
      </c>
      <c r="C74" s="62" t="inlineStr">
        <is>
          <t>TA25AWR056</t>
        </is>
      </c>
      <c r="D74" s="62" t="inlineStr">
        <is>
          <t>Ammonia</t>
        </is>
      </c>
      <c r="E74" s="62" t="inlineStr">
        <is>
          <t>Unit 19</t>
        </is>
      </c>
      <c r="F74" s="62" t="inlineStr">
        <is>
          <t>GATE VALVE</t>
        </is>
      </c>
      <c r="G74" s="62" t="inlineStr">
        <is>
          <t>PK VALVE</t>
        </is>
      </c>
      <c r="H74" s="69" t="n"/>
      <c r="I74" s="69" t="n"/>
      <c r="J74" s="129" t="inlineStr">
        <is>
          <t>M237-8GTV-1901</t>
        </is>
      </c>
      <c r="K74" s="69" t="n"/>
      <c r="L74" s="69" t="n"/>
      <c r="M74" s="62" t="inlineStr">
        <is>
          <t>Valve Packing Replacement</t>
        </is>
      </c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2" t="n">
        <v>8</v>
      </c>
      <c r="X74" s="62" t="n">
        <v>8</v>
      </c>
      <c r="Y74" s="456" t="n"/>
      <c r="Z74" s="69" t="n"/>
      <c r="AA74" s="62" t="n">
        <v>300</v>
      </c>
      <c r="AB74" s="62" t="n">
        <v>300</v>
      </c>
      <c r="AC74" s="73" t="n"/>
      <c r="AD74" s="69" t="n"/>
      <c r="AE74" s="69" t="n"/>
      <c r="AF74" s="73" t="n"/>
      <c r="AG74" s="69" t="n"/>
      <c r="AH74" s="85" t="n"/>
    </row>
    <row r="75">
      <c r="A75" s="82" t="n">
        <v>74</v>
      </c>
      <c r="B75" s="75" t="n">
        <v>81768423</v>
      </c>
      <c r="C75" s="62" t="inlineStr">
        <is>
          <t>TA25AWR056</t>
        </is>
      </c>
      <c r="D75" s="62" t="inlineStr">
        <is>
          <t>Ammonia</t>
        </is>
      </c>
      <c r="E75" s="62" t="inlineStr">
        <is>
          <t>Unit 19</t>
        </is>
      </c>
      <c r="F75" s="62" t="inlineStr">
        <is>
          <t>GATE VALVE</t>
        </is>
      </c>
      <c r="G75" s="62" t="inlineStr">
        <is>
          <t>PK VALVE</t>
        </is>
      </c>
      <c r="H75" s="69" t="n"/>
      <c r="I75" s="69" t="n"/>
      <c r="J75" s="129" t="inlineStr">
        <is>
          <t>M237-4GTV-1902</t>
        </is>
      </c>
      <c r="K75" s="69" t="n"/>
      <c r="L75" s="69" t="n"/>
      <c r="M75" s="62" t="inlineStr">
        <is>
          <t>Valve Packing Replacement</t>
        </is>
      </c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2" t="n">
        <v>4</v>
      </c>
      <c r="X75" s="62" t="n">
        <v>4</v>
      </c>
      <c r="Y75" s="456" t="n"/>
      <c r="Z75" s="69" t="n"/>
      <c r="AA75" s="62" t="n">
        <v>300</v>
      </c>
      <c r="AB75" s="62" t="n">
        <v>300</v>
      </c>
      <c r="AC75" s="73" t="n"/>
      <c r="AD75" s="69" t="n"/>
      <c r="AE75" s="69" t="n"/>
      <c r="AF75" s="73" t="n"/>
      <c r="AG75" s="69" t="n"/>
      <c r="AH75" s="85" t="n"/>
    </row>
    <row r="76">
      <c r="A76" s="82" t="n">
        <v>75</v>
      </c>
      <c r="B76" s="75" t="n">
        <v>81753660</v>
      </c>
      <c r="C76" s="62" t="inlineStr">
        <is>
          <t>UTSMC036</t>
        </is>
      </c>
      <c r="D76" s="62" t="inlineStr">
        <is>
          <t>Utility</t>
        </is>
      </c>
      <c r="E76" s="62" t="n">
        <v>51</v>
      </c>
      <c r="F76" s="62" t="inlineStr">
        <is>
          <t>GLOBE VALVE</t>
        </is>
      </c>
      <c r="G76" s="62" t="inlineStr">
        <is>
          <t>BFE</t>
        </is>
      </c>
      <c r="H76" s="69" t="n"/>
      <c r="I76" s="69" t="n"/>
      <c r="J76" s="129" t="inlineStr">
        <is>
          <t>M237-1GBV-5101B</t>
        </is>
      </c>
      <c r="K76" s="69" t="n"/>
      <c r="L76" s="69" t="n"/>
      <c r="M76" s="62" t="inlineStr">
        <is>
          <t>Valve Packing Replacement</t>
        </is>
      </c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2" t="n">
        <v>1</v>
      </c>
      <c r="X76" s="62" t="n">
        <v>1</v>
      </c>
      <c r="Y76" s="456" t="n"/>
      <c r="Z76" s="69" t="n"/>
      <c r="AA76" s="62" t="n">
        <v>800</v>
      </c>
      <c r="AB76" s="62" t="n">
        <v>800</v>
      </c>
      <c r="AC76" s="73" t="n"/>
      <c r="AD76" s="69" t="n"/>
      <c r="AE76" s="69" t="n"/>
      <c r="AF76" s="73" t="n"/>
      <c r="AG76" s="69" t="n"/>
      <c r="AH76" s="85" t="n"/>
    </row>
    <row r="77">
      <c r="A77" s="82" t="n">
        <v>76</v>
      </c>
      <c r="B77" s="75" t="n">
        <v>81768424</v>
      </c>
      <c r="C77" s="62" t="inlineStr">
        <is>
          <t>TA25AWR056</t>
        </is>
      </c>
      <c r="D77" s="62" t="inlineStr">
        <is>
          <t>Ammonia</t>
        </is>
      </c>
      <c r="E77" s="62" t="inlineStr">
        <is>
          <t>Unit 19</t>
        </is>
      </c>
      <c r="F77" s="62" t="inlineStr">
        <is>
          <t>GATE VALVE</t>
        </is>
      </c>
      <c r="G77" s="62" t="inlineStr">
        <is>
          <t>PK VALVE</t>
        </is>
      </c>
      <c r="H77" s="69" t="n"/>
      <c r="I77" s="69" t="n"/>
      <c r="J77" s="129" t="inlineStr">
        <is>
          <t>M237-4GTV-1901</t>
        </is>
      </c>
      <c r="K77" s="69" t="n"/>
      <c r="L77" s="69" t="n"/>
      <c r="M77" s="62" t="inlineStr">
        <is>
          <t>Valve Packing Replacement</t>
        </is>
      </c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2" t="n">
        <v>4</v>
      </c>
      <c r="X77" s="62" t="n">
        <v>4</v>
      </c>
      <c r="Y77" s="456" t="n"/>
      <c r="Z77" s="69" t="n"/>
      <c r="AA77" s="62" t="n">
        <v>300</v>
      </c>
      <c r="AB77" s="62" t="n">
        <v>300</v>
      </c>
      <c r="AC77" s="73" t="n"/>
      <c r="AD77" s="69" t="n"/>
      <c r="AE77" s="69" t="n"/>
      <c r="AF77" s="73" t="n"/>
      <c r="AG77" s="69" t="n"/>
      <c r="AH77" s="85" t="n"/>
    </row>
    <row r="78">
      <c r="A78" s="82" t="n">
        <v>77</v>
      </c>
      <c r="B78" s="75" t="n">
        <v>81754001</v>
      </c>
      <c r="C78" s="62" t="inlineStr">
        <is>
          <t>UTSMC037</t>
        </is>
      </c>
      <c r="D78" s="62" t="inlineStr">
        <is>
          <t>Utility</t>
        </is>
      </c>
      <c r="E78" s="62" t="n">
        <v>51</v>
      </c>
      <c r="F78" s="62" t="inlineStr">
        <is>
          <t>GLOBE VALVE</t>
        </is>
      </c>
      <c r="G78" s="62" t="inlineStr">
        <is>
          <t>BFE</t>
        </is>
      </c>
      <c r="H78" s="69" t="n"/>
      <c r="I78" s="69" t="n"/>
      <c r="J78" s="129" t="inlineStr">
        <is>
          <t>M237-1GBV-5102B</t>
        </is>
      </c>
      <c r="K78" s="69" t="n"/>
      <c r="L78" s="69" t="n"/>
      <c r="M78" s="62" t="inlineStr">
        <is>
          <t>Valve Packing Replacement</t>
        </is>
      </c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2" t="n">
        <v>1</v>
      </c>
      <c r="X78" s="62" t="n">
        <v>1</v>
      </c>
      <c r="Y78" s="456" t="n"/>
      <c r="Z78" s="69" t="n"/>
      <c r="AA78" s="62" t="n">
        <v>800</v>
      </c>
      <c r="AB78" s="62" t="n">
        <v>800</v>
      </c>
      <c r="AC78" s="73" t="n"/>
      <c r="AD78" s="69" t="n"/>
      <c r="AE78" s="69" t="n"/>
      <c r="AF78" s="73" t="n"/>
      <c r="AG78" s="69" t="n"/>
      <c r="AH78" s="85" t="n"/>
    </row>
    <row r="79">
      <c r="A79" s="82" t="n">
        <v>78</v>
      </c>
      <c r="B79" s="75" t="n">
        <v>81768426</v>
      </c>
      <c r="C79" s="62" t="inlineStr">
        <is>
          <t>TA25AWR056</t>
        </is>
      </c>
      <c r="D79" s="62" t="inlineStr">
        <is>
          <t>Ammonia</t>
        </is>
      </c>
      <c r="E79" s="62" t="inlineStr">
        <is>
          <t>Unit 19</t>
        </is>
      </c>
      <c r="F79" s="62" t="inlineStr">
        <is>
          <t>GATE VALVE</t>
        </is>
      </c>
      <c r="G79" s="62" t="inlineStr">
        <is>
          <t>PK VALVE</t>
        </is>
      </c>
      <c r="H79" s="69" t="n"/>
      <c r="I79" s="69" t="n"/>
      <c r="J79" s="129" t="inlineStr">
        <is>
          <t>M237-6GTV-1902</t>
        </is>
      </c>
      <c r="K79" s="69" t="n"/>
      <c r="L79" s="69" t="n"/>
      <c r="M79" s="62" t="inlineStr">
        <is>
          <t>Valve Packing Replacement</t>
        </is>
      </c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2" t="n">
        <v>6</v>
      </c>
      <c r="X79" s="62" t="n">
        <v>6</v>
      </c>
      <c r="Y79" s="456" t="n"/>
      <c r="Z79" s="69" t="n"/>
      <c r="AA79" s="62" t="n">
        <v>300</v>
      </c>
      <c r="AB79" s="62" t="n">
        <v>300</v>
      </c>
      <c r="AC79" s="73" t="n"/>
      <c r="AD79" s="69" t="n"/>
      <c r="AE79" s="69" t="n"/>
      <c r="AF79" s="73" t="n"/>
      <c r="AG79" s="69" t="n"/>
      <c r="AH79" s="85" t="n"/>
    </row>
    <row r="80">
      <c r="A80" s="82" t="n">
        <v>79</v>
      </c>
      <c r="B80" s="75" t="n">
        <v>81754002</v>
      </c>
      <c r="C80" s="62" t="inlineStr">
        <is>
          <t>UTSMC111</t>
        </is>
      </c>
      <c r="D80" s="62" t="inlineStr">
        <is>
          <t>Utility</t>
        </is>
      </c>
      <c r="E80" s="62" t="n">
        <v>52</v>
      </c>
      <c r="F80" s="62" t="inlineStr">
        <is>
          <t>GLOBE VALVE</t>
        </is>
      </c>
      <c r="G80" s="62" t="inlineStr">
        <is>
          <t>LVF</t>
        </is>
      </c>
      <c r="H80" s="69" t="n"/>
      <c r="I80" s="69" t="n"/>
      <c r="J80" s="129" t="inlineStr">
        <is>
          <t>M237-6GBV-5201</t>
        </is>
      </c>
      <c r="K80" s="69" t="n"/>
      <c r="L80" s="69" t="n"/>
      <c r="M80" s="62" t="inlineStr">
        <is>
          <t>Valve Packing Replacement</t>
        </is>
      </c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2" t="n">
        <v>6</v>
      </c>
      <c r="X80" s="62" t="n">
        <v>6</v>
      </c>
      <c r="Y80" s="456" t="n"/>
      <c r="Z80" s="69" t="n"/>
      <c r="AA80" s="62" t="n">
        <v>1500</v>
      </c>
      <c r="AB80" s="62" t="n">
        <v>1500</v>
      </c>
      <c r="AC80" s="73" t="n"/>
      <c r="AD80" s="69" t="n"/>
      <c r="AE80" s="69" t="n"/>
      <c r="AF80" s="73" t="n"/>
      <c r="AG80" s="69" t="n"/>
      <c r="AH80" s="85" t="n"/>
    </row>
    <row r="81">
      <c r="A81" s="82" t="n">
        <v>80</v>
      </c>
      <c r="B81" s="75" t="n">
        <v>81768427</v>
      </c>
      <c r="C81" s="62" t="inlineStr">
        <is>
          <t>TA25AWR056</t>
        </is>
      </c>
      <c r="D81" s="62" t="inlineStr">
        <is>
          <t>Ammonia</t>
        </is>
      </c>
      <c r="E81" s="62" t="inlineStr">
        <is>
          <t>Unit 19</t>
        </is>
      </c>
      <c r="F81" s="62" t="inlineStr">
        <is>
          <t>GATE VALVE</t>
        </is>
      </c>
      <c r="G81" s="62" t="inlineStr">
        <is>
          <t>PK VALVE</t>
        </is>
      </c>
      <c r="H81" s="69" t="n"/>
      <c r="I81" s="69" t="n"/>
      <c r="J81" s="129" t="inlineStr">
        <is>
          <t>M237-4GTV-1905</t>
        </is>
      </c>
      <c r="K81" s="69" t="n"/>
      <c r="L81" s="69" t="n"/>
      <c r="M81" s="62" t="inlineStr">
        <is>
          <t>Valve Packing Replacement</t>
        </is>
      </c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2" t="n">
        <v>4</v>
      </c>
      <c r="X81" s="62" t="n">
        <v>4</v>
      </c>
      <c r="Y81" s="456" t="n"/>
      <c r="Z81" s="69" t="n"/>
      <c r="AA81" s="62" t="n">
        <v>300</v>
      </c>
      <c r="AB81" s="62" t="n">
        <v>300</v>
      </c>
      <c r="AC81" s="73" t="n"/>
      <c r="AD81" s="69" t="n"/>
      <c r="AE81" s="69" t="n"/>
      <c r="AF81" s="73" t="n"/>
      <c r="AG81" s="69" t="n"/>
      <c r="AH81" s="85" t="n"/>
    </row>
    <row r="82">
      <c r="A82" s="82" t="n">
        <v>81</v>
      </c>
      <c r="B82" s="75" t="n">
        <v>81754003</v>
      </c>
      <c r="C82" s="62" t="inlineStr">
        <is>
          <t>UTSMC038</t>
        </is>
      </c>
      <c r="D82" s="62" t="inlineStr">
        <is>
          <t>Utility</t>
        </is>
      </c>
      <c r="E82" s="62" t="n">
        <v>52</v>
      </c>
      <c r="F82" s="62" t="inlineStr">
        <is>
          <t>GLOBE VALVE</t>
        </is>
      </c>
      <c r="G82" s="62" t="inlineStr">
        <is>
          <t>BFE</t>
        </is>
      </c>
      <c r="H82" s="69" t="n"/>
      <c r="I82" s="69" t="n"/>
      <c r="J82" s="129" t="inlineStr">
        <is>
          <t>M237-1GBV-5203A</t>
        </is>
      </c>
      <c r="K82" s="69" t="n"/>
      <c r="L82" s="69" t="n"/>
      <c r="M82" s="62" t="inlineStr">
        <is>
          <t>Valve Packing Replacement</t>
        </is>
      </c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2" t="n">
        <v>1</v>
      </c>
      <c r="X82" s="62" t="n">
        <v>1</v>
      </c>
      <c r="Y82" s="456" t="n"/>
      <c r="Z82" s="69" t="n"/>
      <c r="AA82" s="62" t="n">
        <v>800</v>
      </c>
      <c r="AB82" s="62" t="n">
        <v>800</v>
      </c>
      <c r="AC82" s="73" t="n"/>
      <c r="AD82" s="69" t="n"/>
      <c r="AE82" s="69" t="n"/>
      <c r="AF82" s="73" t="n"/>
      <c r="AG82" s="69" t="n"/>
      <c r="AH82" s="85" t="n"/>
    </row>
    <row r="83">
      <c r="A83" s="82" t="n">
        <v>83</v>
      </c>
      <c r="B83" s="75" t="n">
        <v>81768429</v>
      </c>
      <c r="C83" s="62" t="inlineStr">
        <is>
          <t>TA25AWR056</t>
        </is>
      </c>
      <c r="D83" s="62" t="inlineStr">
        <is>
          <t>Ammonia</t>
        </is>
      </c>
      <c r="E83" s="62" t="inlineStr">
        <is>
          <t>Unit 19</t>
        </is>
      </c>
      <c r="F83" s="62" t="inlineStr">
        <is>
          <t>GATE VALVE</t>
        </is>
      </c>
      <c r="G83" s="62" t="inlineStr">
        <is>
          <t>PK VALVE</t>
        </is>
      </c>
      <c r="H83" s="69" t="n"/>
      <c r="I83" s="69" t="n"/>
      <c r="J83" s="129" t="inlineStr">
        <is>
          <t>M237-8GTV-1906</t>
        </is>
      </c>
      <c r="K83" s="69" t="n"/>
      <c r="L83" s="69" t="n"/>
      <c r="M83" s="62" t="inlineStr">
        <is>
          <t>Valve Packing Replacement</t>
        </is>
      </c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2" t="n">
        <v>8</v>
      </c>
      <c r="X83" s="62" t="n">
        <v>8</v>
      </c>
      <c r="Y83" s="456" t="n"/>
      <c r="Z83" s="69" t="n"/>
      <c r="AA83" s="62" t="n">
        <v>300</v>
      </c>
      <c r="AB83" s="62" t="n">
        <v>300</v>
      </c>
      <c r="AC83" s="73" t="n"/>
      <c r="AD83" s="69" t="n"/>
      <c r="AE83" s="69" t="n"/>
      <c r="AF83" s="73" t="n"/>
      <c r="AG83" s="69" t="n"/>
      <c r="AH83" s="85" t="n"/>
    </row>
    <row r="84">
      <c r="A84" s="82" t="n">
        <v>84</v>
      </c>
      <c r="B84" s="75" t="n">
        <v>81768430</v>
      </c>
      <c r="C84" s="62" t="inlineStr">
        <is>
          <t>TA25AWR056</t>
        </is>
      </c>
      <c r="D84" s="62" t="inlineStr">
        <is>
          <t>Ammonia</t>
        </is>
      </c>
      <c r="E84" s="62" t="inlineStr">
        <is>
          <t>Unit 18</t>
        </is>
      </c>
      <c r="F84" s="62" t="inlineStr">
        <is>
          <t>GATE VALVE</t>
        </is>
      </c>
      <c r="G84" s="62" t="inlineStr">
        <is>
          <t>PK VALVE</t>
        </is>
      </c>
      <c r="H84" s="69" t="n"/>
      <c r="I84" s="69" t="n"/>
      <c r="J84" s="129" t="inlineStr">
        <is>
          <t>M237-8GTV-1805</t>
        </is>
      </c>
      <c r="K84" s="69" t="n"/>
      <c r="L84" s="69" t="n"/>
      <c r="M84" s="62" t="inlineStr">
        <is>
          <t>Valve Packing Replacement</t>
        </is>
      </c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2" t="n">
        <v>8</v>
      </c>
      <c r="X84" s="62" t="n">
        <v>8</v>
      </c>
      <c r="Y84" s="456" t="n"/>
      <c r="Z84" s="69" t="n"/>
      <c r="AA84" s="62" t="n">
        <v>300</v>
      </c>
      <c r="AB84" s="62" t="n">
        <v>300</v>
      </c>
      <c r="AC84" s="73" t="n"/>
      <c r="AD84" s="69" t="n"/>
      <c r="AE84" s="69" t="n"/>
      <c r="AF84" s="73" t="n"/>
      <c r="AG84" s="69" t="n"/>
      <c r="AH84" s="85" t="n"/>
    </row>
    <row r="85">
      <c r="A85" s="82" t="n">
        <v>85</v>
      </c>
      <c r="B85" s="75" t="n">
        <v>81754004</v>
      </c>
      <c r="C85" s="62" t="inlineStr">
        <is>
          <t>UTSMC040</t>
        </is>
      </c>
      <c r="D85" s="62" t="inlineStr">
        <is>
          <t>Utility</t>
        </is>
      </c>
      <c r="E85" s="62" t="n">
        <v>52</v>
      </c>
      <c r="F85" s="62" t="inlineStr">
        <is>
          <t>GLOBE VALVE</t>
        </is>
      </c>
      <c r="G85" s="62" t="inlineStr">
        <is>
          <t>BFE</t>
        </is>
      </c>
      <c r="H85" s="69" t="n"/>
      <c r="I85" s="69" t="n"/>
      <c r="J85" s="129" t="inlineStr">
        <is>
          <t>M237-1GBV-5204A</t>
        </is>
      </c>
      <c r="K85" s="69" t="n"/>
      <c r="L85" s="69" t="n"/>
      <c r="M85" s="62" t="inlineStr">
        <is>
          <t>Valve Packing Replacement</t>
        </is>
      </c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2" t="n">
        <v>1</v>
      </c>
      <c r="X85" s="62" t="n">
        <v>1</v>
      </c>
      <c r="Y85" s="456" t="n"/>
      <c r="Z85" s="69" t="n"/>
      <c r="AA85" s="62" t="n">
        <v>800</v>
      </c>
      <c r="AB85" s="62" t="n">
        <v>800</v>
      </c>
      <c r="AC85" s="73" t="n"/>
      <c r="AD85" s="69" t="n"/>
      <c r="AE85" s="69" t="n"/>
      <c r="AF85" s="73" t="n"/>
      <c r="AG85" s="69" t="n"/>
      <c r="AH85" s="85" t="n"/>
    </row>
    <row r="86">
      <c r="A86" s="82" t="n">
        <v>86</v>
      </c>
      <c r="B86" s="75" t="n">
        <v>81768431</v>
      </c>
      <c r="C86" s="62" t="inlineStr">
        <is>
          <t>TA25AWR056</t>
        </is>
      </c>
      <c r="D86" s="62" t="inlineStr">
        <is>
          <t>Ammonia</t>
        </is>
      </c>
      <c r="E86" s="62" t="inlineStr">
        <is>
          <t>Unit 18</t>
        </is>
      </c>
      <c r="F86" s="62" t="inlineStr">
        <is>
          <t>GATE VALVE</t>
        </is>
      </c>
      <c r="G86" s="62" t="inlineStr">
        <is>
          <t>PK VALVE</t>
        </is>
      </c>
      <c r="H86" s="69" t="n"/>
      <c r="I86" s="69" t="n"/>
      <c r="J86" s="129" t="inlineStr">
        <is>
          <t>M237-12GTV-1801</t>
        </is>
      </c>
      <c r="K86" s="69" t="n"/>
      <c r="L86" s="69" t="n"/>
      <c r="M86" s="62" t="inlineStr">
        <is>
          <t>Valve Packing Replacement</t>
        </is>
      </c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2" t="n">
        <v>12</v>
      </c>
      <c r="X86" s="62" t="n">
        <v>12</v>
      </c>
      <c r="Y86" s="456" t="n"/>
      <c r="Z86" s="69" t="n"/>
      <c r="AA86" s="62" t="n">
        <v>300</v>
      </c>
      <c r="AB86" s="62" t="n">
        <v>300</v>
      </c>
      <c r="AC86" s="73" t="n"/>
      <c r="AD86" s="69" t="n"/>
      <c r="AE86" s="69" t="n"/>
      <c r="AF86" s="73" t="n"/>
      <c r="AG86" s="69" t="n"/>
      <c r="AH86" s="85" t="n"/>
    </row>
    <row r="87">
      <c r="A87" s="82" t="n">
        <v>87</v>
      </c>
      <c r="B87" s="75" t="n">
        <v>81768432</v>
      </c>
      <c r="C87" s="62" t="inlineStr">
        <is>
          <t>TA25AWR056</t>
        </is>
      </c>
      <c r="D87" s="62" t="inlineStr">
        <is>
          <t>Ammonia</t>
        </is>
      </c>
      <c r="E87" s="62" t="inlineStr">
        <is>
          <t>Unit 18</t>
        </is>
      </c>
      <c r="F87" s="62" t="inlineStr">
        <is>
          <t>GATE VALVE</t>
        </is>
      </c>
      <c r="G87" s="62" t="inlineStr">
        <is>
          <t>PK VALVE</t>
        </is>
      </c>
      <c r="H87" s="69" t="n"/>
      <c r="I87" s="69" t="n"/>
      <c r="J87" s="129" t="inlineStr">
        <is>
          <t>M237-8GTV-1804</t>
        </is>
      </c>
      <c r="K87" s="69" t="n"/>
      <c r="L87" s="69" t="n"/>
      <c r="M87" s="62" t="inlineStr">
        <is>
          <t>Valve Packing Replacement</t>
        </is>
      </c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2" t="n">
        <v>8</v>
      </c>
      <c r="X87" s="62" t="n">
        <v>8</v>
      </c>
      <c r="Y87" s="456" t="n"/>
      <c r="Z87" s="69" t="n"/>
      <c r="AA87" s="62" t="n">
        <v>1500</v>
      </c>
      <c r="AB87" s="62" t="n">
        <v>1500</v>
      </c>
      <c r="AC87" s="73" t="n"/>
      <c r="AD87" s="69" t="n"/>
      <c r="AE87" s="69" t="n"/>
      <c r="AF87" s="73" t="n"/>
      <c r="AG87" s="69" t="n"/>
      <c r="AH87" s="85" t="n"/>
    </row>
    <row r="88">
      <c r="A88" s="82" t="n">
        <v>88</v>
      </c>
      <c r="B88" s="75" t="n">
        <v>81768434</v>
      </c>
      <c r="C88" s="62" t="inlineStr">
        <is>
          <t>TA25AWR056</t>
        </is>
      </c>
      <c r="D88" s="62" t="inlineStr">
        <is>
          <t>Ammonia</t>
        </is>
      </c>
      <c r="E88" s="62" t="inlineStr">
        <is>
          <t>Unit 19</t>
        </is>
      </c>
      <c r="F88" s="62" t="inlineStr">
        <is>
          <t>GLOBE VALVE</t>
        </is>
      </c>
      <c r="G88" s="62" t="inlineStr">
        <is>
          <t>PK VALVE</t>
        </is>
      </c>
      <c r="H88" s="69" t="n"/>
      <c r="I88" s="69" t="n"/>
      <c r="J88" s="129" t="inlineStr">
        <is>
          <t>M237-4GBV-1902</t>
        </is>
      </c>
      <c r="K88" s="69" t="n"/>
      <c r="L88" s="69" t="n"/>
      <c r="M88" s="62" t="inlineStr">
        <is>
          <t>Valve Packing Replacement</t>
        </is>
      </c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2" t="n">
        <v>4</v>
      </c>
      <c r="X88" s="62" t="n">
        <v>4</v>
      </c>
      <c r="Y88" s="456" t="n"/>
      <c r="Z88" s="69" t="n"/>
      <c r="AA88" s="62" t="n">
        <v>300</v>
      </c>
      <c r="AB88" s="62" t="n">
        <v>300</v>
      </c>
      <c r="AC88" s="73" t="n"/>
      <c r="AD88" s="69" t="n"/>
      <c r="AE88" s="69" t="n"/>
      <c r="AF88" s="73" t="n"/>
      <c r="AG88" s="69" t="n"/>
      <c r="AH88" s="85" t="n"/>
    </row>
    <row r="89">
      <c r="A89" s="82" t="n">
        <v>89</v>
      </c>
      <c r="B89" s="75" t="n">
        <v>81768436</v>
      </c>
      <c r="C89" s="62" t="inlineStr">
        <is>
          <t>TA25AWR056</t>
        </is>
      </c>
      <c r="D89" s="62" t="inlineStr">
        <is>
          <t>Ammonia</t>
        </is>
      </c>
      <c r="E89" s="62" t="inlineStr">
        <is>
          <t>Unit 19</t>
        </is>
      </c>
      <c r="F89" s="62" t="inlineStr">
        <is>
          <t>GLOBE VALVE</t>
        </is>
      </c>
      <c r="G89" s="62" t="inlineStr">
        <is>
          <t>PK VALVE</t>
        </is>
      </c>
      <c r="H89" s="69" t="n"/>
      <c r="I89" s="69" t="n"/>
      <c r="J89" s="129" t="inlineStr">
        <is>
          <t>M237-4GBV-1901</t>
        </is>
      </c>
      <c r="K89" s="69" t="n"/>
      <c r="L89" s="69" t="n"/>
      <c r="M89" s="62" t="inlineStr">
        <is>
          <t>Valve Packing Replacement</t>
        </is>
      </c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2" t="n">
        <v>4</v>
      </c>
      <c r="X89" s="62" t="n">
        <v>4</v>
      </c>
      <c r="Y89" s="456" t="n"/>
      <c r="Z89" s="69" t="n"/>
      <c r="AA89" s="62" t="n">
        <v>300</v>
      </c>
      <c r="AB89" s="62" t="n">
        <v>300</v>
      </c>
      <c r="AC89" s="73" t="n"/>
      <c r="AD89" s="69" t="n"/>
      <c r="AE89" s="69" t="n"/>
      <c r="AF89" s="73" t="n"/>
      <c r="AG89" s="69" t="n"/>
      <c r="AH89" s="85" t="n"/>
    </row>
    <row r="90">
      <c r="A90" s="82" t="n">
        <v>90</v>
      </c>
      <c r="B90" s="75" t="n">
        <v>81768437</v>
      </c>
      <c r="C90" s="62" t="inlineStr">
        <is>
          <t>TA25AWR056</t>
        </is>
      </c>
      <c r="D90" s="62" t="inlineStr">
        <is>
          <t>Ammonia</t>
        </is>
      </c>
      <c r="E90" s="62" t="inlineStr">
        <is>
          <t>Unit 19</t>
        </is>
      </c>
      <c r="F90" s="62" t="inlineStr">
        <is>
          <t>GATE VALVE</t>
        </is>
      </c>
      <c r="G90" s="62" t="inlineStr">
        <is>
          <t>PK VALVE</t>
        </is>
      </c>
      <c r="H90" s="69" t="n"/>
      <c r="I90" s="69" t="n"/>
      <c r="J90" s="129" t="inlineStr">
        <is>
          <t>M237-4GTV-1903</t>
        </is>
      </c>
      <c r="K90" s="69" t="n"/>
      <c r="L90" s="69" t="n"/>
      <c r="M90" s="62" t="inlineStr">
        <is>
          <t>Valve Packing Replacement</t>
        </is>
      </c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2" t="n">
        <v>4</v>
      </c>
      <c r="X90" s="62" t="n">
        <v>4</v>
      </c>
      <c r="Y90" s="456" t="n"/>
      <c r="Z90" s="69" t="n"/>
      <c r="AA90" s="62" t="n">
        <v>300</v>
      </c>
      <c r="AB90" s="62" t="n">
        <v>300</v>
      </c>
      <c r="AC90" s="73" t="n"/>
      <c r="AD90" s="69" t="n"/>
      <c r="AE90" s="69" t="n"/>
      <c r="AF90" s="73" t="n"/>
      <c r="AG90" s="69" t="n"/>
      <c r="AH90" s="85" t="n"/>
    </row>
    <row r="91">
      <c r="A91" s="82" t="n">
        <v>91</v>
      </c>
      <c r="B91" s="75" t="n">
        <v>81768829</v>
      </c>
      <c r="C91" s="62" t="inlineStr">
        <is>
          <t>TA25AWR056</t>
        </is>
      </c>
      <c r="D91" s="62" t="inlineStr">
        <is>
          <t>Ammonia</t>
        </is>
      </c>
      <c r="E91" s="62" t="inlineStr">
        <is>
          <t>Unit 19</t>
        </is>
      </c>
      <c r="F91" s="62" t="inlineStr">
        <is>
          <t>GATE VALVE</t>
        </is>
      </c>
      <c r="G91" s="62" t="inlineStr">
        <is>
          <t>PK VALVE</t>
        </is>
      </c>
      <c r="H91" s="69" t="n"/>
      <c r="I91" s="69" t="n"/>
      <c r="J91" s="129" t="inlineStr">
        <is>
          <t>M237-8GTV-1903</t>
        </is>
      </c>
      <c r="K91" s="69" t="n"/>
      <c r="L91" s="69" t="n"/>
      <c r="M91" s="62" t="inlineStr">
        <is>
          <t>Valve Packing Replacement</t>
        </is>
      </c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2" t="n">
        <v>8</v>
      </c>
      <c r="X91" s="62" t="n">
        <v>8</v>
      </c>
      <c r="Y91" s="456" t="n"/>
      <c r="Z91" s="69" t="n"/>
      <c r="AA91" s="62" t="n">
        <v>300</v>
      </c>
      <c r="AB91" s="62" t="n">
        <v>300</v>
      </c>
      <c r="AC91" s="73" t="n"/>
      <c r="AD91" s="69" t="n"/>
      <c r="AE91" s="69" t="n"/>
      <c r="AF91" s="73" t="n"/>
      <c r="AG91" s="69" t="n"/>
      <c r="AH91" s="85" t="n"/>
    </row>
    <row r="92">
      <c r="A92" s="82" t="n">
        <v>92</v>
      </c>
      <c r="B92" s="75" t="n">
        <v>81768830</v>
      </c>
      <c r="C92" s="62" t="inlineStr">
        <is>
          <t>TA25AWR056</t>
        </is>
      </c>
      <c r="D92" s="62" t="inlineStr">
        <is>
          <t>Ammonia</t>
        </is>
      </c>
      <c r="E92" s="62" t="inlineStr">
        <is>
          <t>Unit 19</t>
        </is>
      </c>
      <c r="F92" s="62" t="inlineStr">
        <is>
          <t>GATE VALVE</t>
        </is>
      </c>
      <c r="G92" s="62" t="inlineStr">
        <is>
          <t>PK VALVE</t>
        </is>
      </c>
      <c r="H92" s="69" t="n"/>
      <c r="I92" s="69" t="n"/>
      <c r="J92" s="129" t="inlineStr">
        <is>
          <t>M237-6GTV-1905</t>
        </is>
      </c>
      <c r="K92" s="69" t="n"/>
      <c r="L92" s="69" t="n"/>
      <c r="M92" s="62" t="inlineStr">
        <is>
          <t>Valve Packing Replacement</t>
        </is>
      </c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2" t="n">
        <v>6</v>
      </c>
      <c r="X92" s="62" t="n">
        <v>6</v>
      </c>
      <c r="Y92" s="456" t="n"/>
      <c r="Z92" s="69" t="n"/>
      <c r="AA92" s="62" t="n">
        <v>300</v>
      </c>
      <c r="AB92" s="62" t="n">
        <v>300</v>
      </c>
      <c r="AC92" s="73" t="n"/>
      <c r="AD92" s="69" t="n"/>
      <c r="AE92" s="69" t="n"/>
      <c r="AF92" s="73" t="n"/>
      <c r="AG92" s="69" t="n"/>
      <c r="AH92" s="85" t="n"/>
    </row>
    <row r="93">
      <c r="A93" s="82" t="n">
        <v>93</v>
      </c>
      <c r="B93" s="75" t="n">
        <v>81768832</v>
      </c>
      <c r="C93" s="62" t="inlineStr">
        <is>
          <t>TA25AWR056</t>
        </is>
      </c>
      <c r="D93" s="62" t="inlineStr">
        <is>
          <t>Ammonia</t>
        </is>
      </c>
      <c r="E93" s="62" t="inlineStr">
        <is>
          <t>Unit 19</t>
        </is>
      </c>
      <c r="F93" s="62" t="inlineStr">
        <is>
          <t>GATE VALVE</t>
        </is>
      </c>
      <c r="G93" s="62" t="inlineStr">
        <is>
          <t>PK VALVE</t>
        </is>
      </c>
      <c r="H93" s="69" t="n"/>
      <c r="I93" s="69" t="n"/>
      <c r="J93" s="129" t="inlineStr">
        <is>
          <t>M237-8GTV-1910</t>
        </is>
      </c>
      <c r="K93" s="69" t="n"/>
      <c r="L93" s="69" t="n"/>
      <c r="M93" s="62" t="inlineStr">
        <is>
          <t>Valve Packing Replacement</t>
        </is>
      </c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2" t="n">
        <v>8</v>
      </c>
      <c r="X93" s="62" t="n">
        <v>8</v>
      </c>
      <c r="Y93" s="456" t="n"/>
      <c r="Z93" s="69" t="n"/>
      <c r="AA93" s="62" t="n">
        <v>300</v>
      </c>
      <c r="AB93" s="62" t="n">
        <v>300</v>
      </c>
      <c r="AC93" s="73" t="n"/>
      <c r="AD93" s="69" t="n"/>
      <c r="AE93" s="69" t="n"/>
      <c r="AF93" s="73" t="n"/>
      <c r="AG93" s="69" t="n"/>
      <c r="AH93" s="85" t="n"/>
    </row>
    <row r="94">
      <c r="A94" s="82" t="n">
        <v>94</v>
      </c>
      <c r="B94" s="75" t="n">
        <v>81768833</v>
      </c>
      <c r="C94" s="62" t="inlineStr">
        <is>
          <t>TA25AWR056</t>
        </is>
      </c>
      <c r="D94" s="62" t="inlineStr">
        <is>
          <t>Ammonia</t>
        </is>
      </c>
      <c r="E94" s="62" t="inlineStr">
        <is>
          <t>Unit 19</t>
        </is>
      </c>
      <c r="F94" s="62" t="inlineStr">
        <is>
          <t>GATE VALVE</t>
        </is>
      </c>
      <c r="G94" s="62" t="inlineStr">
        <is>
          <t>PK VALVE</t>
        </is>
      </c>
      <c r="H94" s="69" t="n"/>
      <c r="I94" s="69" t="n"/>
      <c r="J94" s="129" t="inlineStr">
        <is>
          <t>M237-8GTV-1909</t>
        </is>
      </c>
      <c r="K94" s="69" t="n"/>
      <c r="L94" s="69" t="n"/>
      <c r="M94" s="62" t="inlineStr">
        <is>
          <t>Valve Packing Replacement</t>
        </is>
      </c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2" t="n">
        <v>8</v>
      </c>
      <c r="X94" s="62" t="n">
        <v>8</v>
      </c>
      <c r="Y94" s="456" t="n"/>
      <c r="Z94" s="69" t="n"/>
      <c r="AA94" s="62" t="n">
        <v>600</v>
      </c>
      <c r="AB94" s="62" t="n">
        <v>600</v>
      </c>
      <c r="AC94" s="73" t="n"/>
      <c r="AD94" s="69" t="n"/>
      <c r="AE94" s="69" t="n"/>
      <c r="AF94" s="73" t="n"/>
      <c r="AG94" s="69" t="n"/>
      <c r="AH94" s="85" t="n"/>
    </row>
    <row r="95">
      <c r="A95" s="82" t="n">
        <v>95</v>
      </c>
      <c r="B95" s="75" t="n">
        <v>81768835</v>
      </c>
      <c r="C95" s="62" t="inlineStr">
        <is>
          <t>TA25AWR056</t>
        </is>
      </c>
      <c r="D95" s="62" t="inlineStr">
        <is>
          <t>Ammonia</t>
        </is>
      </c>
      <c r="E95" s="62" t="inlineStr">
        <is>
          <t>Unit 19</t>
        </is>
      </c>
      <c r="F95" s="62" t="inlineStr">
        <is>
          <t>GATE VALVE</t>
        </is>
      </c>
      <c r="G95" s="62" t="inlineStr">
        <is>
          <t>PK VALVE</t>
        </is>
      </c>
      <c r="H95" s="69" t="n"/>
      <c r="I95" s="69" t="n"/>
      <c r="J95" s="129" t="inlineStr">
        <is>
          <t>M237-6GTV-1904</t>
        </is>
      </c>
      <c r="K95" s="69" t="n"/>
      <c r="L95" s="69" t="n"/>
      <c r="M95" s="62" t="inlineStr">
        <is>
          <t>Valve Packing Replacement</t>
        </is>
      </c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2" t="n">
        <v>6</v>
      </c>
      <c r="X95" s="62" t="n">
        <v>6</v>
      </c>
      <c r="Y95" s="456" t="n"/>
      <c r="Z95" s="69" t="n"/>
      <c r="AA95" s="62" t="n">
        <v>300</v>
      </c>
      <c r="AB95" s="62" t="n">
        <v>300</v>
      </c>
      <c r="AC95" s="73" t="n"/>
      <c r="AD95" s="69" t="n"/>
      <c r="AE95" s="69" t="n"/>
      <c r="AF95" s="73" t="n"/>
      <c r="AG95" s="69" t="n"/>
      <c r="AH95" s="85" t="n"/>
    </row>
    <row r="96">
      <c r="A96" s="82" t="n">
        <v>96</v>
      </c>
      <c r="B96" s="75" t="n">
        <v>81768836</v>
      </c>
      <c r="C96" s="62" t="inlineStr">
        <is>
          <t>TA25AWR056</t>
        </is>
      </c>
      <c r="D96" s="62" t="inlineStr">
        <is>
          <t>Ammonia</t>
        </is>
      </c>
      <c r="E96" s="62" t="inlineStr">
        <is>
          <t>Unit 19</t>
        </is>
      </c>
      <c r="F96" s="62" t="inlineStr">
        <is>
          <t>GATE VALVE</t>
        </is>
      </c>
      <c r="G96" s="62" t="inlineStr">
        <is>
          <t>PK VALVE</t>
        </is>
      </c>
      <c r="H96" s="69" t="n"/>
      <c r="I96" s="69" t="n"/>
      <c r="J96" s="129" t="inlineStr">
        <is>
          <t>M237-6GTV-1903</t>
        </is>
      </c>
      <c r="K96" s="69" t="n"/>
      <c r="L96" s="69" t="n"/>
      <c r="M96" s="62" t="inlineStr">
        <is>
          <t>Valve Packing Replacement</t>
        </is>
      </c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2" t="n">
        <v>6</v>
      </c>
      <c r="X96" s="62" t="n">
        <v>6</v>
      </c>
      <c r="Y96" s="456" t="n"/>
      <c r="Z96" s="69" t="n"/>
      <c r="AA96" s="62" t="n">
        <v>300</v>
      </c>
      <c r="AB96" s="62" t="n">
        <v>300</v>
      </c>
      <c r="AC96" s="73" t="n"/>
      <c r="AD96" s="69" t="n"/>
      <c r="AE96" s="69" t="n"/>
      <c r="AF96" s="73" t="n"/>
      <c r="AG96" s="69" t="n"/>
      <c r="AH96" s="85" t="n"/>
    </row>
    <row r="97">
      <c r="A97" s="82" t="n">
        <v>97</v>
      </c>
      <c r="B97" s="75" t="n">
        <v>81768838</v>
      </c>
      <c r="C97" s="62" t="inlineStr">
        <is>
          <t>TA25AWR056</t>
        </is>
      </c>
      <c r="D97" s="62" t="inlineStr">
        <is>
          <t>Ammonia</t>
        </is>
      </c>
      <c r="E97" s="62" t="inlineStr">
        <is>
          <t>Unit 19</t>
        </is>
      </c>
      <c r="F97" s="62" t="inlineStr">
        <is>
          <t>GATE VALVE</t>
        </is>
      </c>
      <c r="G97" s="62" t="inlineStr">
        <is>
          <t>PK VALVE</t>
        </is>
      </c>
      <c r="H97" s="69" t="n"/>
      <c r="I97" s="69" t="n"/>
      <c r="J97" s="129" t="inlineStr">
        <is>
          <t>M237-6GTV-1908</t>
        </is>
      </c>
      <c r="K97" s="69" t="n"/>
      <c r="L97" s="69" t="n"/>
      <c r="M97" s="62" t="inlineStr">
        <is>
          <t>Valve Packing Replacement</t>
        </is>
      </c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2" t="n">
        <v>6</v>
      </c>
      <c r="X97" s="62" t="n">
        <v>6</v>
      </c>
      <c r="Y97" s="456" t="n"/>
      <c r="Z97" s="69" t="n"/>
      <c r="AA97" s="62" t="n">
        <v>300</v>
      </c>
      <c r="AB97" s="62" t="n">
        <v>300</v>
      </c>
      <c r="AC97" s="73" t="n"/>
      <c r="AD97" s="69" t="n"/>
      <c r="AE97" s="69" t="n"/>
      <c r="AF97" s="73" t="n"/>
      <c r="AG97" s="69" t="n"/>
      <c r="AH97" s="85" t="n"/>
    </row>
    <row r="98">
      <c r="A98" s="82" t="n">
        <v>98</v>
      </c>
      <c r="B98" s="75" t="n">
        <v>81768839</v>
      </c>
      <c r="C98" s="62" t="inlineStr">
        <is>
          <t>TA25AWR056</t>
        </is>
      </c>
      <c r="D98" s="62" t="inlineStr">
        <is>
          <t>Ammonia</t>
        </is>
      </c>
      <c r="E98" s="62" t="inlineStr">
        <is>
          <t>Unit 19</t>
        </is>
      </c>
      <c r="F98" s="62" t="inlineStr">
        <is>
          <t>GATE VALVE</t>
        </is>
      </c>
      <c r="G98" s="62" t="inlineStr">
        <is>
          <t>PK VALVE</t>
        </is>
      </c>
      <c r="H98" s="69" t="n"/>
      <c r="I98" s="69" t="n"/>
      <c r="J98" s="129" t="inlineStr">
        <is>
          <t>M237-6GTV-1907</t>
        </is>
      </c>
      <c r="K98" s="69" t="n"/>
      <c r="L98" s="69" t="n"/>
      <c r="M98" s="62" t="inlineStr">
        <is>
          <t>Valve Packing Replacement</t>
        </is>
      </c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2" t="n">
        <v>6</v>
      </c>
      <c r="X98" s="62" t="n">
        <v>6</v>
      </c>
      <c r="Y98" s="456" t="n"/>
      <c r="Z98" s="69" t="n"/>
      <c r="AA98" s="62" t="n">
        <v>300</v>
      </c>
      <c r="AB98" s="62" t="n">
        <v>300</v>
      </c>
      <c r="AC98" s="73" t="n"/>
      <c r="AD98" s="69" t="n"/>
      <c r="AE98" s="69" t="n"/>
      <c r="AF98" s="73" t="n"/>
      <c r="AG98" s="69" t="n"/>
      <c r="AH98" s="85" t="n"/>
    </row>
    <row r="99">
      <c r="A99" s="82" t="n">
        <v>99</v>
      </c>
      <c r="B99" s="75" t="n">
        <v>81754017</v>
      </c>
      <c r="C99" s="62" t="inlineStr">
        <is>
          <t>NPSMC008</t>
        </is>
      </c>
      <c r="D99" s="62" t="inlineStr">
        <is>
          <t>W&amp;D/Offsite/Jetty</t>
        </is>
      </c>
      <c r="E99" s="62" t="n"/>
      <c r="F99" s="62" t="inlineStr">
        <is>
          <t>GLOBE VALVE</t>
        </is>
      </c>
      <c r="G99" s="62" t="inlineStr">
        <is>
          <t>PK VALVE</t>
        </is>
      </c>
      <c r="H99" s="69" t="n"/>
      <c r="I99" s="69" t="n"/>
      <c r="J99" s="129" t="inlineStr">
        <is>
          <t>M237-4GBV-6101</t>
        </is>
      </c>
      <c r="K99" s="69" t="n"/>
      <c r="L99" s="69" t="n"/>
      <c r="M99" s="62" t="inlineStr">
        <is>
          <t>Valve Packing Replacement</t>
        </is>
      </c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2" t="n">
        <v>4</v>
      </c>
      <c r="X99" s="62" t="n">
        <v>4</v>
      </c>
      <c r="Y99" s="456" t="n"/>
      <c r="Z99" s="69" t="n"/>
      <c r="AA99" s="62" t="n">
        <v>300</v>
      </c>
      <c r="AB99" s="62" t="n">
        <v>300</v>
      </c>
      <c r="AC99" s="73" t="n"/>
      <c r="AD99" s="69" t="n"/>
      <c r="AE99" s="69" t="n"/>
      <c r="AF99" s="73" t="n"/>
      <c r="AG99" s="69" t="n"/>
      <c r="AH99" s="85" t="n"/>
    </row>
    <row r="100">
      <c r="A100" s="82" t="n">
        <v>100</v>
      </c>
      <c r="B100" s="75" t="n">
        <v>81799434</v>
      </c>
      <c r="C100" s="62" t="inlineStr">
        <is>
          <t>NPSMC004</t>
        </is>
      </c>
      <c r="D100" s="62" t="inlineStr">
        <is>
          <t>W&amp;D/Offsite/Jetty</t>
        </is>
      </c>
      <c r="E100" s="62" t="n"/>
      <c r="F100" s="62" t="inlineStr">
        <is>
          <t>GATE VALVE</t>
        </is>
      </c>
      <c r="G100" s="62" t="inlineStr">
        <is>
          <t>PK VALVE</t>
        </is>
      </c>
      <c r="H100" s="69" t="n"/>
      <c r="I100" s="69" t="n"/>
      <c r="J100" s="129" t="inlineStr">
        <is>
          <t>M237-6GTV-6101A</t>
        </is>
      </c>
      <c r="K100" s="69" t="n"/>
      <c r="L100" s="69" t="n"/>
      <c r="M100" s="62" t="inlineStr">
        <is>
          <t>Valve Packing Replacement</t>
        </is>
      </c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2" t="n">
        <v>6</v>
      </c>
      <c r="X100" s="62" t="n">
        <v>6</v>
      </c>
      <c r="Y100" s="456" t="n"/>
      <c r="Z100" s="69" t="n"/>
      <c r="AA100" s="62" t="n">
        <v>150</v>
      </c>
      <c r="AB100" s="62" t="n">
        <v>150</v>
      </c>
      <c r="AC100" s="73" t="n"/>
      <c r="AD100" s="69" t="n"/>
      <c r="AE100" s="69" t="n"/>
      <c r="AF100" s="73" t="n"/>
      <c r="AG100" s="69" t="n"/>
      <c r="AH100" s="85" t="n"/>
    </row>
    <row r="101">
      <c r="A101" s="82" t="n">
        <v>101</v>
      </c>
      <c r="B101" s="75" t="n">
        <v>81799435</v>
      </c>
      <c r="C101" s="62" t="inlineStr">
        <is>
          <t>NPSMC005</t>
        </is>
      </c>
      <c r="D101" s="62" t="inlineStr">
        <is>
          <t>W&amp;D/Offsite/Jetty</t>
        </is>
      </c>
      <c r="E101" s="62" t="n"/>
      <c r="F101" s="62" t="inlineStr">
        <is>
          <t>GATE VALVE</t>
        </is>
      </c>
      <c r="G101" s="62" t="inlineStr">
        <is>
          <t>PK VALVE</t>
        </is>
      </c>
      <c r="H101" s="69" t="n"/>
      <c r="I101" s="69" t="n"/>
      <c r="J101" s="129" t="inlineStr">
        <is>
          <t>M237-6GTV-6101B</t>
        </is>
      </c>
      <c r="K101" s="69" t="n"/>
      <c r="L101" s="69" t="n"/>
      <c r="M101" s="62" t="inlineStr">
        <is>
          <t>Valve Packing Replacement</t>
        </is>
      </c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2" t="n">
        <v>6</v>
      </c>
      <c r="X101" s="62" t="n">
        <v>6</v>
      </c>
      <c r="Y101" s="456" t="n"/>
      <c r="Z101" s="69" t="n"/>
      <c r="AA101" s="62" t="n">
        <v>150</v>
      </c>
      <c r="AB101" s="62" t="n">
        <v>150</v>
      </c>
      <c r="AC101" s="73" t="n"/>
      <c r="AD101" s="69" t="n"/>
      <c r="AE101" s="69" t="n"/>
      <c r="AF101" s="73" t="n"/>
      <c r="AG101" s="69" t="n"/>
      <c r="AH101" s="85" t="n"/>
    </row>
    <row r="102">
      <c r="A102" s="82" t="n">
        <v>102</v>
      </c>
      <c r="B102" s="75" t="n">
        <v>81799436</v>
      </c>
      <c r="C102" s="62" t="inlineStr">
        <is>
          <t>NPSMC001</t>
        </is>
      </c>
      <c r="D102" s="62" t="inlineStr">
        <is>
          <t>W&amp;D/Offsite/Jetty</t>
        </is>
      </c>
      <c r="E102" s="62" t="n"/>
      <c r="F102" s="62" t="inlineStr">
        <is>
          <t>GATE VALVE</t>
        </is>
      </c>
      <c r="G102" s="62" t="inlineStr">
        <is>
          <t>PK VALVE</t>
        </is>
      </c>
      <c r="H102" s="69" t="n"/>
      <c r="I102" s="69" t="n"/>
      <c r="J102" s="129" t="inlineStr">
        <is>
          <t>M237-14GTV-6101</t>
        </is>
      </c>
      <c r="K102" s="69" t="n"/>
      <c r="L102" s="69" t="n"/>
      <c r="M102" s="62" t="inlineStr">
        <is>
          <t>Valve Packing Replacement</t>
        </is>
      </c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2" t="n">
        <v>14</v>
      </c>
      <c r="X102" s="62" t="n">
        <v>14</v>
      </c>
      <c r="Y102" s="456" t="n"/>
      <c r="Z102" s="69" t="n"/>
      <c r="AA102" s="62" t="n">
        <v>300</v>
      </c>
      <c r="AB102" s="62" t="n">
        <v>300</v>
      </c>
      <c r="AC102" s="73" t="n"/>
      <c r="AD102" s="69" t="n"/>
      <c r="AE102" s="69" t="n"/>
      <c r="AF102" s="73" t="n"/>
      <c r="AG102" s="69" t="n"/>
      <c r="AH102" s="85" t="n"/>
    </row>
    <row r="103">
      <c r="A103" s="82" t="n">
        <v>103</v>
      </c>
      <c r="B103" s="75" t="n">
        <v>81799437</v>
      </c>
      <c r="C103" s="62" t="inlineStr">
        <is>
          <t>NPSMC007</t>
        </is>
      </c>
      <c r="D103" s="62" t="inlineStr">
        <is>
          <t>W&amp;D/Offsite/Jetty</t>
        </is>
      </c>
      <c r="E103" s="62" t="n"/>
      <c r="F103" s="62" t="inlineStr">
        <is>
          <t>GATE VALVE</t>
        </is>
      </c>
      <c r="G103" s="62" t="inlineStr">
        <is>
          <t>PK VALVE</t>
        </is>
      </c>
      <c r="H103" s="69" t="n"/>
      <c r="I103" s="69" t="n"/>
      <c r="J103" s="129" t="inlineStr">
        <is>
          <t>M237-10GTV-6102</t>
        </is>
      </c>
      <c r="K103" s="69" t="n"/>
      <c r="L103" s="69" t="n"/>
      <c r="M103" s="62" t="inlineStr">
        <is>
          <t>Valve Packing Replacement</t>
        </is>
      </c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2" t="n">
        <v>10</v>
      </c>
      <c r="X103" s="62" t="n">
        <v>10</v>
      </c>
      <c r="Y103" s="456" t="n"/>
      <c r="Z103" s="69" t="n"/>
      <c r="AA103" s="62" t="n">
        <v>150</v>
      </c>
      <c r="AB103" s="62" t="n">
        <v>150</v>
      </c>
      <c r="AC103" s="73" t="n"/>
      <c r="AD103" s="69" t="n"/>
      <c r="AE103" s="69" t="n"/>
      <c r="AF103" s="73" t="n"/>
      <c r="AG103" s="69" t="n"/>
      <c r="AH103" s="85" t="n"/>
    </row>
    <row r="104">
      <c r="A104" s="82" t="n">
        <v>105</v>
      </c>
      <c r="B104" s="75" t="n">
        <v>81799441</v>
      </c>
      <c r="C104" s="62" t="inlineStr">
        <is>
          <t>NPSMC003</t>
        </is>
      </c>
      <c r="D104" s="62" t="inlineStr">
        <is>
          <t>W&amp;D/Offsite/Jetty</t>
        </is>
      </c>
      <c r="E104" s="62" t="n"/>
      <c r="F104" s="62" t="inlineStr">
        <is>
          <t>GATE VALVE</t>
        </is>
      </c>
      <c r="G104" s="62" t="inlineStr">
        <is>
          <t>PK VALVE</t>
        </is>
      </c>
      <c r="H104" s="69" t="n"/>
      <c r="I104" s="69" t="n"/>
      <c r="J104" s="129" t="inlineStr">
        <is>
          <t>M237-10GTV-6101</t>
        </is>
      </c>
      <c r="K104" s="69" t="n"/>
      <c r="L104" s="69" t="n"/>
      <c r="M104" s="62" t="inlineStr">
        <is>
          <t>Valve Packing Replacement</t>
        </is>
      </c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2" t="n">
        <v>10</v>
      </c>
      <c r="X104" s="62" t="n">
        <v>10</v>
      </c>
      <c r="Y104" s="456" t="n"/>
      <c r="Z104" s="69" t="n"/>
      <c r="AA104" s="62" t="n">
        <v>150</v>
      </c>
      <c r="AB104" s="62" t="n">
        <v>150</v>
      </c>
      <c r="AC104" s="73" t="n"/>
      <c r="AD104" s="69" t="n"/>
      <c r="AE104" s="69" t="n"/>
      <c r="AF104" s="73" t="n"/>
      <c r="AG104" s="69" t="n"/>
      <c r="AH104" s="85" t="n"/>
    </row>
    <row r="105">
      <c r="A105" s="82" t="n">
        <v>106</v>
      </c>
      <c r="B105" s="75" t="n">
        <v>81799442</v>
      </c>
      <c r="C105" s="62" t="inlineStr">
        <is>
          <t>NPSMC006</t>
        </is>
      </c>
      <c r="D105" s="62" t="inlineStr">
        <is>
          <t>W&amp;D/Offsite/Jetty</t>
        </is>
      </c>
      <c r="E105" s="62" t="n"/>
      <c r="F105" s="62" t="inlineStr">
        <is>
          <t>GATE VALVE</t>
        </is>
      </c>
      <c r="G105" s="62" t="inlineStr">
        <is>
          <t>PK VALVE</t>
        </is>
      </c>
      <c r="H105" s="69" t="n"/>
      <c r="I105" s="69" t="n"/>
      <c r="J105" s="129" t="inlineStr">
        <is>
          <t>M237-6GTV-6102</t>
        </is>
      </c>
      <c r="K105" s="69" t="n"/>
      <c r="L105" s="69" t="n"/>
      <c r="M105" s="62" t="inlineStr">
        <is>
          <t>Valve Packing Replacement</t>
        </is>
      </c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2" t="n">
        <v>6</v>
      </c>
      <c r="X105" s="62" t="n">
        <v>6</v>
      </c>
      <c r="Y105" s="456" t="n"/>
      <c r="Z105" s="69" t="n"/>
      <c r="AA105" s="62" t="n">
        <v>150</v>
      </c>
      <c r="AB105" s="62" t="n">
        <v>150</v>
      </c>
      <c r="AC105" s="73" t="n"/>
      <c r="AD105" s="69" t="n"/>
      <c r="AE105" s="69" t="n"/>
      <c r="AF105" s="73" t="n"/>
      <c r="AG105" s="69" t="n"/>
      <c r="AH105" s="85" t="n"/>
    </row>
    <row r="106">
      <c r="A106" s="82" t="n">
        <v>107</v>
      </c>
      <c r="B106" s="75" t="n">
        <v>81799074</v>
      </c>
      <c r="C106" s="62" t="inlineStr">
        <is>
          <t>URSMC016</t>
        </is>
      </c>
      <c r="D106" s="62" t="inlineStr">
        <is>
          <t>Urea</t>
        </is>
      </c>
      <c r="E106" s="62" t="n">
        <v>32</v>
      </c>
      <c r="F106" s="62" t="inlineStr">
        <is>
          <t>ANGLE VALVE</t>
        </is>
      </c>
      <c r="G106" s="62" t="inlineStr">
        <is>
          <t>BHDT</t>
        </is>
      </c>
      <c r="H106" s="69" t="n"/>
      <c r="I106" s="69" t="n"/>
      <c r="J106" s="129" t="inlineStr">
        <is>
          <t>M237-8AV-3201A</t>
        </is>
      </c>
      <c r="K106" s="69" t="n"/>
      <c r="L106" s="69" t="n"/>
      <c r="M106" s="62" t="inlineStr">
        <is>
          <t>Valve Packing Replacement</t>
        </is>
      </c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2" t="n">
        <v>8</v>
      </c>
      <c r="X106" s="62" t="n">
        <v>8</v>
      </c>
      <c r="Y106" s="456" t="n"/>
      <c r="Z106" s="69" t="n"/>
      <c r="AA106" s="62" t="n">
        <v>2500</v>
      </c>
      <c r="AB106" s="62" t="n">
        <v>2500</v>
      </c>
      <c r="AC106" s="73" t="n"/>
      <c r="AD106" s="69" t="n"/>
      <c r="AE106" s="69" t="n"/>
      <c r="AF106" s="73" t="n"/>
      <c r="AG106" s="69" t="n"/>
      <c r="AH106" s="85" t="n"/>
    </row>
    <row r="107">
      <c r="A107" s="82" t="n">
        <v>108</v>
      </c>
      <c r="B107" s="75" t="n">
        <v>81799075</v>
      </c>
      <c r="C107" s="62" t="inlineStr">
        <is>
          <t>URSMC017</t>
        </is>
      </c>
      <c r="D107" s="62" t="inlineStr">
        <is>
          <t>Urea</t>
        </is>
      </c>
      <c r="E107" s="62" t="n">
        <v>32</v>
      </c>
      <c r="F107" s="62" t="inlineStr">
        <is>
          <t>ANGLE VALVE</t>
        </is>
      </c>
      <c r="G107" s="62" t="inlineStr">
        <is>
          <t>BHDT</t>
        </is>
      </c>
      <c r="H107" s="69" t="n"/>
      <c r="I107" s="69" t="n"/>
      <c r="J107" s="129" t="inlineStr">
        <is>
          <t>M237-8AV-3201B</t>
        </is>
      </c>
      <c r="K107" s="69" t="n"/>
      <c r="L107" s="69" t="n"/>
      <c r="M107" s="62" t="inlineStr">
        <is>
          <t>Valve Packing Replacement</t>
        </is>
      </c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2" t="n">
        <v>8</v>
      </c>
      <c r="X107" s="62" t="n">
        <v>8</v>
      </c>
      <c r="Y107" s="456" t="n"/>
      <c r="Z107" s="69" t="n"/>
      <c r="AA107" s="62" t="n">
        <v>2500</v>
      </c>
      <c r="AB107" s="62" t="n">
        <v>2500</v>
      </c>
      <c r="AC107" s="73" t="n"/>
      <c r="AD107" s="69" t="n"/>
      <c r="AE107" s="69" t="n"/>
      <c r="AF107" s="73" t="n"/>
      <c r="AG107" s="69" t="n"/>
      <c r="AH107" s="85" t="n"/>
    </row>
    <row r="108">
      <c r="A108" s="82" t="n">
        <v>109</v>
      </c>
      <c r="B108" s="75" t="n">
        <v>81799076</v>
      </c>
      <c r="C108" s="62" t="inlineStr">
        <is>
          <t>URSMC018</t>
        </is>
      </c>
      <c r="D108" s="62" t="inlineStr">
        <is>
          <t>Urea</t>
        </is>
      </c>
      <c r="E108" s="62" t="n">
        <v>32</v>
      </c>
      <c r="F108" s="62" t="inlineStr">
        <is>
          <t>ANGLE VALVE</t>
        </is>
      </c>
      <c r="G108" s="62" t="inlineStr">
        <is>
          <t>BHDT</t>
        </is>
      </c>
      <c r="H108" s="69" t="n"/>
      <c r="I108" s="69" t="n"/>
      <c r="J108" s="129" t="inlineStr">
        <is>
          <t>M237-6AV-3201A</t>
        </is>
      </c>
      <c r="K108" s="69" t="n"/>
      <c r="L108" s="69" t="n"/>
      <c r="M108" s="62" t="inlineStr">
        <is>
          <t>Valve Packing Replacement</t>
        </is>
      </c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2" t="n">
        <v>6</v>
      </c>
      <c r="X108" s="62" t="n">
        <v>6</v>
      </c>
      <c r="Y108" s="456" t="n"/>
      <c r="Z108" s="69" t="n"/>
      <c r="AA108" s="62" t="n">
        <v>2500</v>
      </c>
      <c r="AB108" s="62" t="n">
        <v>2500</v>
      </c>
      <c r="AC108" s="73" t="n"/>
      <c r="AD108" s="69" t="n"/>
      <c r="AE108" s="69" t="n"/>
      <c r="AF108" s="73" t="n"/>
      <c r="AG108" s="69" t="n"/>
      <c r="AH108" s="85" t="n"/>
    </row>
    <row r="109">
      <c r="A109" s="82" t="n">
        <v>110</v>
      </c>
      <c r="B109" s="75" t="n">
        <v>81799077</v>
      </c>
      <c r="C109" s="62" t="inlineStr">
        <is>
          <t>URSMC019</t>
        </is>
      </c>
      <c r="D109" s="62" t="inlineStr">
        <is>
          <t>Urea</t>
        </is>
      </c>
      <c r="E109" s="62" t="n">
        <v>32</v>
      </c>
      <c r="F109" s="62" t="inlineStr">
        <is>
          <t>ANGLE VALVE</t>
        </is>
      </c>
      <c r="G109" s="62" t="inlineStr">
        <is>
          <t>BHDT</t>
        </is>
      </c>
      <c r="H109" s="69" t="n"/>
      <c r="I109" s="69" t="n"/>
      <c r="J109" s="129" t="inlineStr">
        <is>
          <t>M237-6AV-3201B</t>
        </is>
      </c>
      <c r="K109" s="69" t="n"/>
      <c r="L109" s="69" t="n"/>
      <c r="M109" s="62" t="inlineStr">
        <is>
          <t>Valve Packing Replacement</t>
        </is>
      </c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2" t="n">
        <v>6</v>
      </c>
      <c r="X109" s="62" t="n">
        <v>6</v>
      </c>
      <c r="Y109" s="456" t="n"/>
      <c r="Z109" s="69" t="n"/>
      <c r="AA109" s="62" t="n">
        <v>2500</v>
      </c>
      <c r="AB109" s="62" t="n">
        <v>2500</v>
      </c>
      <c r="AC109" s="73" t="n"/>
      <c r="AD109" s="69" t="n"/>
      <c r="AE109" s="69" t="n"/>
      <c r="AF109" s="73" t="n"/>
      <c r="AG109" s="69" t="n"/>
      <c r="AH109" s="85" t="n"/>
    </row>
    <row r="110">
      <c r="A110" s="82" t="n">
        <v>111</v>
      </c>
      <c r="B110" s="75" t="n">
        <v>81799078</v>
      </c>
      <c r="C110" s="62" t="inlineStr">
        <is>
          <t>URSMC001</t>
        </is>
      </c>
      <c r="D110" s="62" t="inlineStr">
        <is>
          <t>Urea</t>
        </is>
      </c>
      <c r="E110" s="62" t="n">
        <v>33</v>
      </c>
      <c r="F110" s="62" t="inlineStr">
        <is>
          <t>ANGLE VALVE</t>
        </is>
      </c>
      <c r="G110" s="62" t="inlineStr">
        <is>
          <t>BHDT</t>
        </is>
      </c>
      <c r="H110" s="69" t="n"/>
      <c r="I110" s="69" t="n"/>
      <c r="J110" s="129" t="inlineStr">
        <is>
          <t>M237-1/2AV-3301</t>
        </is>
      </c>
      <c r="K110" s="69" t="n"/>
      <c r="L110" s="69" t="n"/>
      <c r="M110" s="62" t="inlineStr">
        <is>
          <t>Valve Packing Replacement</t>
        </is>
      </c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7" t="n">
        <v>45689</v>
      </c>
      <c r="X110" s="67" t="n">
        <v>45689</v>
      </c>
      <c r="Y110" s="456" t="n"/>
      <c r="Z110" s="69" t="n"/>
      <c r="AA110" s="62" t="n">
        <v>2500</v>
      </c>
      <c r="AB110" s="62" t="n">
        <v>2500</v>
      </c>
      <c r="AC110" s="73" t="n"/>
      <c r="AD110" s="69" t="n"/>
      <c r="AE110" s="69" t="n"/>
      <c r="AF110" s="73" t="n"/>
      <c r="AG110" s="69" t="n"/>
      <c r="AH110" s="85" t="n"/>
    </row>
    <row r="111">
      <c r="A111" s="82" t="n">
        <v>112</v>
      </c>
      <c r="B111" s="75" t="n">
        <v>81799145</v>
      </c>
      <c r="C111" s="62" t="inlineStr">
        <is>
          <t>URSMC004</t>
        </is>
      </c>
      <c r="D111" s="62" t="inlineStr">
        <is>
          <t>Urea</t>
        </is>
      </c>
      <c r="E111" s="62" t="n">
        <v>32</v>
      </c>
      <c r="F111" s="62" t="inlineStr">
        <is>
          <t>GLOBE VALVE</t>
        </is>
      </c>
      <c r="G111" s="62" t="inlineStr">
        <is>
          <t>PK VALVE</t>
        </is>
      </c>
      <c r="H111" s="69" t="n"/>
      <c r="I111" s="69" t="n"/>
      <c r="J111" s="129" t="inlineStr">
        <is>
          <t>M237-8GBV-3201A</t>
        </is>
      </c>
      <c r="K111" s="69" t="n"/>
      <c r="L111" s="69" t="n"/>
      <c r="M111" s="62" t="inlineStr">
        <is>
          <t>Valve Packing Replacement</t>
        </is>
      </c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2" t="n">
        <v>8</v>
      </c>
      <c r="X111" s="62" t="n">
        <v>8</v>
      </c>
      <c r="Y111" s="456" t="n"/>
      <c r="Z111" s="69" t="n"/>
      <c r="AA111" s="62" t="n">
        <v>2500</v>
      </c>
      <c r="AB111" s="62" t="n">
        <v>2500</v>
      </c>
      <c r="AC111" s="73" t="n"/>
      <c r="AD111" s="69" t="n"/>
      <c r="AE111" s="69" t="n"/>
      <c r="AF111" s="73" t="n"/>
      <c r="AG111" s="69" t="n"/>
      <c r="AH111" s="85" t="n"/>
    </row>
    <row r="112">
      <c r="A112" s="82" t="n">
        <v>113</v>
      </c>
      <c r="B112" s="75" t="n">
        <v>81799146</v>
      </c>
      <c r="C112" s="62" t="inlineStr">
        <is>
          <t>URSMC005</t>
        </is>
      </c>
      <c r="D112" s="62" t="inlineStr">
        <is>
          <t>Urea</t>
        </is>
      </c>
      <c r="E112" s="62" t="n">
        <v>32</v>
      </c>
      <c r="F112" s="62" t="inlineStr">
        <is>
          <t>GLOBE VALVE</t>
        </is>
      </c>
      <c r="G112" s="62" t="inlineStr">
        <is>
          <t>PK VALVE</t>
        </is>
      </c>
      <c r="H112" s="69" t="n"/>
      <c r="I112" s="69" t="n"/>
      <c r="J112" s="129" t="inlineStr">
        <is>
          <t>M237-8GBV-3201B</t>
        </is>
      </c>
      <c r="K112" s="69" t="n"/>
      <c r="L112" s="69" t="n"/>
      <c r="M112" s="62" t="inlineStr">
        <is>
          <t>Valve Packing Replacement</t>
        </is>
      </c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2" t="n">
        <v>8</v>
      </c>
      <c r="X112" s="62" t="n">
        <v>8</v>
      </c>
      <c r="Y112" s="456" t="n"/>
      <c r="Z112" s="69" t="n"/>
      <c r="AA112" s="62" t="n">
        <v>2500</v>
      </c>
      <c r="AB112" s="62" t="n">
        <v>2500</v>
      </c>
      <c r="AC112" s="73" t="n"/>
      <c r="AD112" s="69" t="n"/>
      <c r="AE112" s="69" t="n"/>
      <c r="AF112" s="73" t="n"/>
      <c r="AG112" s="69" t="n"/>
      <c r="AH112" s="85" t="n"/>
    </row>
    <row r="113">
      <c r="A113" s="82" t="n">
        <v>114</v>
      </c>
      <c r="B113" s="75" t="n">
        <v>81799147</v>
      </c>
      <c r="C113" s="62" t="inlineStr">
        <is>
          <t>URSMC006</t>
        </is>
      </c>
      <c r="D113" s="62" t="inlineStr">
        <is>
          <t>Urea</t>
        </is>
      </c>
      <c r="E113" s="62" t="n">
        <v>32</v>
      </c>
      <c r="F113" s="62" t="inlineStr">
        <is>
          <t>GLOBE VALVE</t>
        </is>
      </c>
      <c r="G113" s="62" t="inlineStr">
        <is>
          <t>BFE</t>
        </is>
      </c>
      <c r="H113" s="69" t="n"/>
      <c r="I113" s="69" t="n"/>
      <c r="J113" s="129" t="inlineStr">
        <is>
          <t>M237-6GBV-3201A</t>
        </is>
      </c>
      <c r="K113" s="69" t="n"/>
      <c r="L113" s="69" t="n"/>
      <c r="M113" s="62" t="inlineStr">
        <is>
          <t>Valve Packing Replacement</t>
        </is>
      </c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2" t="n">
        <v>6</v>
      </c>
      <c r="X113" s="62" t="n">
        <v>6</v>
      </c>
      <c r="Y113" s="456" t="n"/>
      <c r="Z113" s="69" t="n"/>
      <c r="AA113" s="62" t="n">
        <v>2500</v>
      </c>
      <c r="AB113" s="62" t="n">
        <v>2500</v>
      </c>
      <c r="AC113" s="73" t="n"/>
      <c r="AD113" s="69" t="n"/>
      <c r="AE113" s="69" t="n"/>
      <c r="AF113" s="73" t="n"/>
      <c r="AG113" s="69" t="n"/>
      <c r="AH113" s="85" t="n"/>
    </row>
    <row r="114">
      <c r="A114" s="82" t="n">
        <v>115</v>
      </c>
      <c r="B114" s="75" t="n">
        <v>81799148</v>
      </c>
      <c r="C114" s="62" t="inlineStr">
        <is>
          <t>URSMC007</t>
        </is>
      </c>
      <c r="D114" s="62" t="inlineStr">
        <is>
          <t>Urea</t>
        </is>
      </c>
      <c r="E114" s="62" t="n">
        <v>32</v>
      </c>
      <c r="F114" s="62" t="inlineStr">
        <is>
          <t>GLOBE VALVE</t>
        </is>
      </c>
      <c r="G114" s="62" t="inlineStr">
        <is>
          <t>BFE</t>
        </is>
      </c>
      <c r="H114" s="69" t="n"/>
      <c r="I114" s="69" t="n"/>
      <c r="J114" s="129" t="inlineStr">
        <is>
          <t>M237-6GBV-3201B</t>
        </is>
      </c>
      <c r="K114" s="69" t="n"/>
      <c r="L114" s="69" t="n"/>
      <c r="M114" s="62" t="inlineStr">
        <is>
          <t>Valve Packing Replacement</t>
        </is>
      </c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2" t="n">
        <v>6</v>
      </c>
      <c r="X114" s="62" t="n">
        <v>6</v>
      </c>
      <c r="Y114" s="456" t="n"/>
      <c r="Z114" s="69" t="n"/>
      <c r="AA114" s="62" t="n">
        <v>2500</v>
      </c>
      <c r="AB114" s="62" t="n">
        <v>2500</v>
      </c>
      <c r="AC114" s="73" t="n"/>
      <c r="AD114" s="69" t="n"/>
      <c r="AE114" s="69" t="n"/>
      <c r="AF114" s="73" t="n"/>
      <c r="AG114" s="69" t="n"/>
      <c r="AH114" s="85" t="n"/>
    </row>
    <row r="115">
      <c r="A115" s="82" t="n">
        <v>116</v>
      </c>
      <c r="B115" s="75" t="n">
        <v>81799149</v>
      </c>
      <c r="C115" s="62" t="inlineStr">
        <is>
          <t>URSMC008</t>
        </is>
      </c>
      <c r="D115" s="62" t="inlineStr">
        <is>
          <t>Urea</t>
        </is>
      </c>
      <c r="E115" s="62" t="n">
        <v>32</v>
      </c>
      <c r="F115" s="62" t="inlineStr">
        <is>
          <t>GLOBE VALVE</t>
        </is>
      </c>
      <c r="G115" s="62" t="inlineStr">
        <is>
          <t>BFE</t>
        </is>
      </c>
      <c r="H115" s="69" t="n"/>
      <c r="I115" s="69" t="n"/>
      <c r="J115" s="129" t="inlineStr">
        <is>
          <t>M237-6GBV-3202A</t>
        </is>
      </c>
      <c r="K115" s="69" t="n"/>
      <c r="L115" s="69" t="n"/>
      <c r="M115" s="62" t="inlineStr">
        <is>
          <t>Valve Packing Replacement</t>
        </is>
      </c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2" t="n">
        <v>6</v>
      </c>
      <c r="X115" s="62" t="n">
        <v>6</v>
      </c>
      <c r="Y115" s="456" t="n"/>
      <c r="Z115" s="69" t="n"/>
      <c r="AA115" s="62" t="n">
        <v>2500</v>
      </c>
      <c r="AB115" s="62" t="n">
        <v>2500</v>
      </c>
      <c r="AC115" s="73" t="n"/>
      <c r="AD115" s="69" t="n"/>
      <c r="AE115" s="69" t="n"/>
      <c r="AF115" s="73" t="n"/>
      <c r="AG115" s="69" t="n"/>
      <c r="AH115" s="85" t="n"/>
    </row>
    <row r="116">
      <c r="A116" s="82" t="n">
        <v>117</v>
      </c>
      <c r="B116" s="75" t="n">
        <v>81799150</v>
      </c>
      <c r="C116" s="62" t="inlineStr">
        <is>
          <t>URSMC009</t>
        </is>
      </c>
      <c r="D116" s="62" t="inlineStr">
        <is>
          <t>Urea</t>
        </is>
      </c>
      <c r="E116" s="62" t="n">
        <v>32</v>
      </c>
      <c r="F116" s="62" t="inlineStr">
        <is>
          <t>GLOBE VALVE</t>
        </is>
      </c>
      <c r="G116" s="62" t="inlineStr">
        <is>
          <t>BFE</t>
        </is>
      </c>
      <c r="H116" s="69" t="n"/>
      <c r="I116" s="69" t="n"/>
      <c r="J116" s="129" t="inlineStr">
        <is>
          <t>M237-6GBV-3203A</t>
        </is>
      </c>
      <c r="K116" s="69" t="n"/>
      <c r="L116" s="69" t="n"/>
      <c r="M116" s="62" t="inlineStr">
        <is>
          <t>Valve Packing Replacement</t>
        </is>
      </c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2" t="n">
        <v>6</v>
      </c>
      <c r="X116" s="62" t="n">
        <v>6</v>
      </c>
      <c r="Y116" s="456" t="n"/>
      <c r="Z116" s="69" t="n"/>
      <c r="AA116" s="62" t="n">
        <v>2500</v>
      </c>
      <c r="AB116" s="62" t="n">
        <v>2500</v>
      </c>
      <c r="AC116" s="73" t="n"/>
      <c r="AD116" s="69" t="n"/>
      <c r="AE116" s="69" t="n"/>
      <c r="AF116" s="73" t="n"/>
      <c r="AG116" s="69" t="n"/>
      <c r="AH116" s="85" t="n"/>
    </row>
    <row r="117">
      <c r="A117" s="82" t="n">
        <v>118</v>
      </c>
      <c r="B117" s="75" t="n">
        <v>81799151</v>
      </c>
      <c r="C117" s="62" t="inlineStr">
        <is>
          <t>URSMC010</t>
        </is>
      </c>
      <c r="D117" s="62" t="inlineStr">
        <is>
          <t>Urea</t>
        </is>
      </c>
      <c r="E117" s="62" t="n">
        <v>32</v>
      </c>
      <c r="F117" s="62" t="inlineStr">
        <is>
          <t>GLOBE VALVE</t>
        </is>
      </c>
      <c r="G117" s="62" t="inlineStr">
        <is>
          <t>BFE</t>
        </is>
      </c>
      <c r="H117" s="69" t="n"/>
      <c r="I117" s="69" t="n"/>
      <c r="J117" s="129" t="inlineStr">
        <is>
          <t>M237-6GBV-3202B</t>
        </is>
      </c>
      <c r="K117" s="69" t="n"/>
      <c r="L117" s="69" t="n"/>
      <c r="M117" s="62" t="inlineStr">
        <is>
          <t>Valve Packing Replacement</t>
        </is>
      </c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2" t="n">
        <v>6</v>
      </c>
      <c r="X117" s="62" t="n">
        <v>6</v>
      </c>
      <c r="Y117" s="456" t="n"/>
      <c r="Z117" s="69" t="n"/>
      <c r="AA117" s="62" t="n">
        <v>2500</v>
      </c>
      <c r="AB117" s="62" t="n">
        <v>2500</v>
      </c>
      <c r="AC117" s="73" t="n"/>
      <c r="AD117" s="69" t="n"/>
      <c r="AE117" s="69" t="n"/>
      <c r="AF117" s="73" t="n"/>
      <c r="AG117" s="69" t="n"/>
      <c r="AH117" s="85" t="n"/>
    </row>
    <row r="118">
      <c r="A118" s="82" t="n">
        <v>119</v>
      </c>
      <c r="B118" s="75" t="n">
        <v>81799152</v>
      </c>
      <c r="C118" s="62" t="inlineStr">
        <is>
          <t>URSMC011</t>
        </is>
      </c>
      <c r="D118" s="62" t="inlineStr">
        <is>
          <t>Urea</t>
        </is>
      </c>
      <c r="E118" s="62" t="n">
        <v>32</v>
      </c>
      <c r="F118" s="62" t="inlineStr">
        <is>
          <t>GLOBE VALVE</t>
        </is>
      </c>
      <c r="G118" s="62" t="inlineStr">
        <is>
          <t>BFE</t>
        </is>
      </c>
      <c r="H118" s="69" t="n"/>
      <c r="I118" s="69" t="n"/>
      <c r="J118" s="129" t="inlineStr">
        <is>
          <t>M237-6GBV-3203B</t>
        </is>
      </c>
      <c r="K118" s="69" t="n"/>
      <c r="L118" s="69" t="n"/>
      <c r="M118" s="62" t="inlineStr">
        <is>
          <t>Valve Packing Replacement</t>
        </is>
      </c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2" t="n">
        <v>6</v>
      </c>
      <c r="X118" s="62" t="n">
        <v>6</v>
      </c>
      <c r="Y118" s="456" t="n"/>
      <c r="Z118" s="69" t="n"/>
      <c r="AA118" s="62" t="n">
        <v>2500</v>
      </c>
      <c r="AB118" s="62" t="n">
        <v>2500</v>
      </c>
      <c r="AC118" s="73" t="n"/>
      <c r="AD118" s="69" t="n"/>
      <c r="AE118" s="69" t="n"/>
      <c r="AF118" s="73" t="n"/>
      <c r="AG118" s="69" t="n"/>
      <c r="AH118" s="85" t="n"/>
    </row>
    <row r="119">
      <c r="A119" s="82" t="n">
        <v>120</v>
      </c>
      <c r="B119" s="75" t="n">
        <v>81799189</v>
      </c>
      <c r="C119" s="62" t="inlineStr">
        <is>
          <t>URSMC012</t>
        </is>
      </c>
      <c r="D119" s="62" t="inlineStr">
        <is>
          <t>Urea</t>
        </is>
      </c>
      <c r="E119" s="62" t="n">
        <v>32</v>
      </c>
      <c r="F119" s="62" t="inlineStr">
        <is>
          <t>GATE VALVE</t>
        </is>
      </c>
      <c r="G119" s="62" t="inlineStr">
        <is>
          <t>PK VALVE</t>
        </is>
      </c>
      <c r="H119" s="69" t="n"/>
      <c r="I119" s="69" t="n"/>
      <c r="J119" s="129" t="inlineStr">
        <is>
          <t>M237-12GTV-3201A</t>
        </is>
      </c>
      <c r="K119" s="69" t="n"/>
      <c r="L119" s="69" t="n"/>
      <c r="M119" s="62" t="inlineStr">
        <is>
          <t>Valve Packing Replacement</t>
        </is>
      </c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2" t="n">
        <v>12</v>
      </c>
      <c r="X119" s="62" t="n">
        <v>12</v>
      </c>
      <c r="Y119" s="456" t="n"/>
      <c r="Z119" s="69" t="n"/>
      <c r="AA119" s="62" t="n">
        <v>300</v>
      </c>
      <c r="AB119" s="62" t="n">
        <v>300</v>
      </c>
      <c r="AC119" s="73" t="n"/>
      <c r="AD119" s="69" t="n"/>
      <c r="AE119" s="69" t="n"/>
      <c r="AF119" s="73" t="n"/>
      <c r="AG119" s="69" t="n"/>
      <c r="AH119" s="85" t="n"/>
    </row>
    <row r="120">
      <c r="A120" s="82" t="n">
        <v>121</v>
      </c>
      <c r="B120" s="75" t="n">
        <v>81799190</v>
      </c>
      <c r="C120" s="62" t="inlineStr">
        <is>
          <t>URSMC013</t>
        </is>
      </c>
      <c r="D120" s="62" t="inlineStr">
        <is>
          <t>Urea</t>
        </is>
      </c>
      <c r="E120" s="62" t="n">
        <v>32</v>
      </c>
      <c r="F120" s="62" t="inlineStr">
        <is>
          <t>GATE VALVE</t>
        </is>
      </c>
      <c r="G120" s="62" t="inlineStr">
        <is>
          <t>PK VALVE</t>
        </is>
      </c>
      <c r="H120" s="69" t="n"/>
      <c r="I120" s="69" t="n"/>
      <c r="J120" s="129" t="inlineStr">
        <is>
          <t>M237-12GTV-3202A</t>
        </is>
      </c>
      <c r="K120" s="69" t="n"/>
      <c r="L120" s="69" t="n"/>
      <c r="M120" s="62" t="inlineStr">
        <is>
          <t>Valve Packing Replacement</t>
        </is>
      </c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2" t="n">
        <v>12</v>
      </c>
      <c r="X120" s="62" t="n">
        <v>12</v>
      </c>
      <c r="Y120" s="456" t="n"/>
      <c r="Z120" s="69" t="n"/>
      <c r="AA120" s="62" t="n">
        <v>300</v>
      </c>
      <c r="AB120" s="62" t="n">
        <v>300</v>
      </c>
      <c r="AC120" s="73" t="n"/>
      <c r="AD120" s="69" t="n"/>
      <c r="AE120" s="69" t="n"/>
      <c r="AF120" s="73" t="n"/>
      <c r="AG120" s="69" t="n"/>
      <c r="AH120" s="85" t="n"/>
    </row>
    <row r="121">
      <c r="A121" s="82" t="n">
        <v>122</v>
      </c>
      <c r="B121" s="75" t="n">
        <v>81799191</v>
      </c>
      <c r="C121" s="62" t="inlineStr">
        <is>
          <t>URSMC014</t>
        </is>
      </c>
      <c r="D121" s="62" t="inlineStr">
        <is>
          <t>Urea</t>
        </is>
      </c>
      <c r="E121" s="62" t="n">
        <v>32</v>
      </c>
      <c r="F121" s="62" t="inlineStr">
        <is>
          <t>GATE VALVE</t>
        </is>
      </c>
      <c r="G121" s="62" t="inlineStr">
        <is>
          <t>PK VALVE</t>
        </is>
      </c>
      <c r="H121" s="69" t="n"/>
      <c r="I121" s="69" t="n"/>
      <c r="J121" s="129" t="inlineStr">
        <is>
          <t>M237-12GTV-3201B</t>
        </is>
      </c>
      <c r="K121" s="69" t="n"/>
      <c r="L121" s="69" t="n"/>
      <c r="M121" s="62" t="inlineStr">
        <is>
          <t>Valve Packing Replacement</t>
        </is>
      </c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2" t="n">
        <v>12</v>
      </c>
      <c r="X121" s="62" t="n">
        <v>12</v>
      </c>
      <c r="Y121" s="456" t="n"/>
      <c r="Z121" s="69" t="n"/>
      <c r="AA121" s="62" t="n">
        <v>300</v>
      </c>
      <c r="AB121" s="62" t="n">
        <v>300</v>
      </c>
      <c r="AC121" s="73" t="n"/>
      <c r="AD121" s="69" t="n"/>
      <c r="AE121" s="69" t="n"/>
      <c r="AF121" s="73" t="n"/>
      <c r="AG121" s="69" t="n"/>
      <c r="AH121" s="85" t="n"/>
    </row>
    <row r="122">
      <c r="A122" s="82" t="n">
        <v>123</v>
      </c>
      <c r="B122" s="75" t="n">
        <v>81799192</v>
      </c>
      <c r="C122" s="62" t="inlineStr">
        <is>
          <t>URSMC015</t>
        </is>
      </c>
      <c r="D122" s="62" t="inlineStr">
        <is>
          <t>Urea</t>
        </is>
      </c>
      <c r="E122" s="62" t="n">
        <v>32</v>
      </c>
      <c r="F122" s="62" t="inlineStr">
        <is>
          <t>GATE VALVE</t>
        </is>
      </c>
      <c r="G122" s="62" t="inlineStr">
        <is>
          <t>PK VALVE</t>
        </is>
      </c>
      <c r="H122" s="69" t="n"/>
      <c r="I122" s="69" t="n"/>
      <c r="J122" s="129" t="inlineStr">
        <is>
          <t>M237-12GTV-3202B</t>
        </is>
      </c>
      <c r="K122" s="69" t="n"/>
      <c r="L122" s="69" t="n"/>
      <c r="M122" s="62" t="inlineStr">
        <is>
          <t>Valve Packing Replacement</t>
        </is>
      </c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2" t="n">
        <v>12</v>
      </c>
      <c r="X122" s="62" t="n">
        <v>12</v>
      </c>
      <c r="Y122" s="456" t="n"/>
      <c r="Z122" s="69" t="n"/>
      <c r="AA122" s="62" t="n">
        <v>300</v>
      </c>
      <c r="AB122" s="62" t="n">
        <v>300</v>
      </c>
      <c r="AC122" s="73" t="n"/>
      <c r="AD122" s="69" t="n"/>
      <c r="AE122" s="69" t="n"/>
      <c r="AF122" s="73" t="n"/>
      <c r="AG122" s="69" t="n"/>
      <c r="AH122" s="85" t="n"/>
    </row>
    <row r="123">
      <c r="A123" s="82" t="n">
        <v>124</v>
      </c>
      <c r="B123" s="75" t="n">
        <v>81754005</v>
      </c>
      <c r="C123" s="62" t="inlineStr">
        <is>
          <t>UTSMC039</t>
        </is>
      </c>
      <c r="D123" s="62" t="inlineStr">
        <is>
          <t>Utility</t>
        </is>
      </c>
      <c r="E123" s="62" t="n">
        <v>52</v>
      </c>
      <c r="F123" s="62" t="inlineStr">
        <is>
          <t>GLOBE VALVE</t>
        </is>
      </c>
      <c r="G123" s="62" t="inlineStr">
        <is>
          <t>BFE</t>
        </is>
      </c>
      <c r="H123" s="69" t="n"/>
      <c r="I123" s="69" t="n"/>
      <c r="J123" s="129" t="inlineStr">
        <is>
          <t>M237-1GBV-5203B</t>
        </is>
      </c>
      <c r="K123" s="69" t="n"/>
      <c r="L123" s="69" t="n"/>
      <c r="M123" s="62" t="inlineStr">
        <is>
          <t>Valve Packing Replacement</t>
        </is>
      </c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2" t="n">
        <v>1</v>
      </c>
      <c r="X123" s="62" t="n">
        <v>1</v>
      </c>
      <c r="Y123" s="456" t="n"/>
      <c r="Z123" s="69" t="n"/>
      <c r="AA123" s="62" t="n">
        <v>800</v>
      </c>
      <c r="AB123" s="62" t="n">
        <v>800</v>
      </c>
      <c r="AC123" s="73" t="n"/>
      <c r="AD123" s="69" t="n"/>
      <c r="AE123" s="69" t="n"/>
      <c r="AF123" s="73" t="n"/>
      <c r="AG123" s="69" t="n"/>
      <c r="AH123" s="85" t="n"/>
    </row>
    <row r="124">
      <c r="A124" s="82" t="n">
        <v>125</v>
      </c>
      <c r="B124" s="75" t="n">
        <v>81754006</v>
      </c>
      <c r="C124" s="62" t="inlineStr">
        <is>
          <t>UTSMC041</t>
        </is>
      </c>
      <c r="D124" s="62" t="inlineStr">
        <is>
          <t>Utility</t>
        </is>
      </c>
      <c r="E124" s="62" t="n">
        <v>52</v>
      </c>
      <c r="F124" s="62" t="inlineStr">
        <is>
          <t>GLOBE VALVE</t>
        </is>
      </c>
      <c r="G124" s="62" t="inlineStr">
        <is>
          <t>BFE</t>
        </is>
      </c>
      <c r="H124" s="69" t="n"/>
      <c r="I124" s="69" t="n"/>
      <c r="J124" s="129" t="inlineStr">
        <is>
          <t>M237-1GBV-5204B</t>
        </is>
      </c>
      <c r="K124" s="69" t="n"/>
      <c r="L124" s="69" t="n"/>
      <c r="M124" s="62" t="inlineStr">
        <is>
          <t>Valve Packing Replacement</t>
        </is>
      </c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2" t="n">
        <v>1</v>
      </c>
      <c r="X124" s="62" t="n">
        <v>1</v>
      </c>
      <c r="Y124" s="456" t="n"/>
      <c r="Z124" s="69" t="n"/>
      <c r="AA124" s="62" t="n">
        <v>800</v>
      </c>
      <c r="AB124" s="62" t="n">
        <v>800</v>
      </c>
      <c r="AC124" s="73" t="n"/>
      <c r="AD124" s="69" t="n"/>
      <c r="AE124" s="69" t="n"/>
      <c r="AF124" s="73" t="n"/>
      <c r="AG124" s="69" t="n"/>
      <c r="AH124" s="85" t="n"/>
    </row>
    <row r="125">
      <c r="A125" s="82" t="n">
        <v>126</v>
      </c>
      <c r="B125" s="75" t="n">
        <v>81754007</v>
      </c>
      <c r="C125" s="62" t="inlineStr">
        <is>
          <t>UTSMC042</t>
        </is>
      </c>
      <c r="D125" s="62" t="inlineStr">
        <is>
          <t>Utility</t>
        </is>
      </c>
      <c r="E125" s="62" t="n">
        <v>52</v>
      </c>
      <c r="F125" s="62" t="inlineStr">
        <is>
          <t>GLOBE VALVE</t>
        </is>
      </c>
      <c r="G125" s="62" t="inlineStr">
        <is>
          <t>BFE</t>
        </is>
      </c>
      <c r="H125" s="69" t="n"/>
      <c r="I125" s="69" t="n"/>
      <c r="J125" s="129" t="inlineStr">
        <is>
          <t>M237-1GBV-5205A</t>
        </is>
      </c>
      <c r="K125" s="69" t="n"/>
      <c r="L125" s="69" t="n"/>
      <c r="M125" s="62" t="inlineStr">
        <is>
          <t>Valve Packing Replacement</t>
        </is>
      </c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2" t="n">
        <v>1</v>
      </c>
      <c r="X125" s="62" t="n">
        <v>1</v>
      </c>
      <c r="Y125" s="456" t="n"/>
      <c r="Z125" s="69" t="n"/>
      <c r="AA125" s="62" t="n">
        <v>800</v>
      </c>
      <c r="AB125" s="62" t="n">
        <v>800</v>
      </c>
      <c r="AC125" s="73" t="n"/>
      <c r="AD125" s="69" t="n"/>
      <c r="AE125" s="69" t="n"/>
      <c r="AF125" s="73" t="n"/>
      <c r="AG125" s="69" t="n"/>
      <c r="AH125" s="85" t="n"/>
    </row>
    <row r="126">
      <c r="A126" s="82" t="n">
        <v>127</v>
      </c>
      <c r="B126" s="75" t="n">
        <v>81754008</v>
      </c>
      <c r="C126" s="62" t="inlineStr">
        <is>
          <t>UTSMC043</t>
        </is>
      </c>
      <c r="D126" s="62" t="inlineStr">
        <is>
          <t>Utility</t>
        </is>
      </c>
      <c r="E126" s="62" t="n">
        <v>52</v>
      </c>
      <c r="F126" s="62" t="inlineStr">
        <is>
          <t>GLOBE VALVE</t>
        </is>
      </c>
      <c r="G126" s="62" t="inlineStr">
        <is>
          <t>BFE</t>
        </is>
      </c>
      <c r="H126" s="69" t="n"/>
      <c r="I126" s="69" t="n"/>
      <c r="J126" s="129" t="inlineStr">
        <is>
          <t>M237-1GBV-5206A</t>
        </is>
      </c>
      <c r="K126" s="69" t="n"/>
      <c r="L126" s="69" t="n"/>
      <c r="M126" s="62" t="inlineStr">
        <is>
          <t>Valve Packing Replacement</t>
        </is>
      </c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2" t="n">
        <v>1</v>
      </c>
      <c r="X126" s="62" t="n">
        <v>1</v>
      </c>
      <c r="Y126" s="456" t="n"/>
      <c r="Z126" s="69" t="n"/>
      <c r="AA126" s="62" t="n">
        <v>800</v>
      </c>
      <c r="AB126" s="62" t="n">
        <v>800</v>
      </c>
      <c r="AC126" s="73" t="n"/>
      <c r="AD126" s="69" t="n"/>
      <c r="AE126" s="69" t="n"/>
      <c r="AF126" s="73" t="n"/>
      <c r="AG126" s="69" t="n"/>
      <c r="AH126" s="85" t="n"/>
    </row>
    <row r="127">
      <c r="A127" s="82" t="n">
        <v>129</v>
      </c>
      <c r="B127" s="75" t="n">
        <v>81754010</v>
      </c>
      <c r="C127" s="62" t="inlineStr">
        <is>
          <t>UTSMC011</t>
        </is>
      </c>
      <c r="D127" s="62" t="inlineStr">
        <is>
          <t>Utility</t>
        </is>
      </c>
      <c r="E127" s="62" t="n">
        <v>53</v>
      </c>
      <c r="F127" s="62" t="inlineStr">
        <is>
          <t>GLOBE VALVE</t>
        </is>
      </c>
      <c r="G127" s="62" t="inlineStr">
        <is>
          <t>LVF</t>
        </is>
      </c>
      <c r="H127" s="69" t="n"/>
      <c r="I127" s="69" t="n"/>
      <c r="J127" s="129" t="inlineStr">
        <is>
          <t>M237-1.1/2GBV-53-NO407A</t>
        </is>
      </c>
      <c r="K127" s="69" t="n"/>
      <c r="L127" s="69" t="n"/>
      <c r="M127" s="62" t="inlineStr">
        <is>
          <t>Valve Packing Replacement</t>
        </is>
      </c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2" t="inlineStr">
        <is>
          <t>1.1/2</t>
        </is>
      </c>
      <c r="X127" s="62" t="inlineStr">
        <is>
          <t>1.1/2</t>
        </is>
      </c>
      <c r="Y127" s="456" t="n"/>
      <c r="Z127" s="69" t="n"/>
      <c r="AA127" s="62" t="n">
        <v>800</v>
      </c>
      <c r="AB127" s="62" t="n">
        <v>800</v>
      </c>
      <c r="AC127" s="73" t="n"/>
      <c r="AD127" s="69" t="n"/>
      <c r="AE127" s="69" t="n"/>
      <c r="AF127" s="73" t="n"/>
      <c r="AG127" s="69" t="n"/>
      <c r="AH127" s="85" t="n"/>
    </row>
    <row r="128">
      <c r="A128" s="83" t="n">
        <v>130</v>
      </c>
      <c r="B128" s="76" t="n">
        <v>81754011</v>
      </c>
      <c r="C128" s="63" t="inlineStr">
        <is>
          <t>UTSMC046</t>
        </is>
      </c>
      <c r="D128" s="63" t="inlineStr">
        <is>
          <t>Utility</t>
        </is>
      </c>
      <c r="E128" s="63" t="n">
        <v>53</v>
      </c>
      <c r="F128" s="63" t="inlineStr">
        <is>
          <t>GLOBE VALVE</t>
        </is>
      </c>
      <c r="G128" s="63" t="inlineStr">
        <is>
          <t>LVF</t>
        </is>
      </c>
      <c r="H128" s="69" t="n"/>
      <c r="I128" s="69" t="n"/>
      <c r="J128" s="130" t="inlineStr">
        <is>
          <t>M237-1GBV-53-NO434A</t>
        </is>
      </c>
      <c r="K128" s="69" t="n"/>
      <c r="L128" s="69" t="n"/>
      <c r="M128" s="63" t="inlineStr">
        <is>
          <t>Valve Packing Replacement</t>
        </is>
      </c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3" t="n">
        <v>1</v>
      </c>
      <c r="X128" s="63" t="n">
        <v>1</v>
      </c>
      <c r="Y128" s="456" t="n"/>
      <c r="Z128" s="69" t="n"/>
      <c r="AA128" s="63" t="n">
        <v>800</v>
      </c>
      <c r="AB128" s="63" t="n">
        <v>800</v>
      </c>
      <c r="AC128" s="73" t="n"/>
      <c r="AD128" s="69" t="n"/>
      <c r="AE128" s="69" t="n"/>
      <c r="AF128" s="73" t="n"/>
      <c r="AG128" s="69" t="n"/>
      <c r="AH128" s="85" t="n"/>
    </row>
    <row r="129">
      <c r="A129" s="82" t="n">
        <v>131</v>
      </c>
      <c r="B129" s="75" t="n">
        <v>81754012</v>
      </c>
      <c r="C129" s="62" t="inlineStr">
        <is>
          <t>UTSMC104</t>
        </is>
      </c>
      <c r="D129" s="62" t="inlineStr">
        <is>
          <t>Utility</t>
        </is>
      </c>
      <c r="E129" s="62" t="n">
        <v>53</v>
      </c>
      <c r="F129" s="62" t="inlineStr">
        <is>
          <t>GLOBE VALVE</t>
        </is>
      </c>
      <c r="G129" s="62" t="inlineStr">
        <is>
          <t>ORION</t>
        </is>
      </c>
      <c r="H129" s="69" t="n"/>
      <c r="I129" s="69" t="n"/>
      <c r="J129" s="129" t="inlineStr">
        <is>
          <t>M237-4GBV-53-NO003A</t>
        </is>
      </c>
      <c r="K129" s="69" t="n"/>
      <c r="L129" s="69" t="n"/>
      <c r="M129" s="62" t="inlineStr">
        <is>
          <t>Valve Packing Replacement</t>
        </is>
      </c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2" t="n">
        <v>4</v>
      </c>
      <c r="X129" s="62" t="n">
        <v>4</v>
      </c>
      <c r="Y129" s="456" t="n"/>
      <c r="Z129" s="69" t="n"/>
      <c r="AA129" s="62" t="n">
        <v>1500</v>
      </c>
      <c r="AB129" s="62" t="n">
        <v>1500</v>
      </c>
      <c r="AC129" s="73" t="n"/>
      <c r="AD129" s="69" t="n"/>
      <c r="AE129" s="69" t="n"/>
      <c r="AF129" s="73" t="n"/>
      <c r="AG129" s="69" t="n"/>
      <c r="AH129" s="85" t="n"/>
    </row>
    <row r="130">
      <c r="A130" s="82" t="n">
        <v>132</v>
      </c>
      <c r="B130" s="75" t="n">
        <v>81754013</v>
      </c>
      <c r="C130" s="62" t="inlineStr">
        <is>
          <t>UTSMC044</t>
        </is>
      </c>
      <c r="D130" s="62" t="inlineStr">
        <is>
          <t>Utility</t>
        </is>
      </c>
      <c r="E130" s="62" t="n">
        <v>53</v>
      </c>
      <c r="F130" s="62" t="inlineStr">
        <is>
          <t>GLOBE VALVE</t>
        </is>
      </c>
      <c r="G130" s="62" t="inlineStr">
        <is>
          <t>BONETTI</t>
        </is>
      </c>
      <c r="H130" s="69" t="n"/>
      <c r="I130" s="69" t="n"/>
      <c r="J130" s="129" t="inlineStr">
        <is>
          <t>M237-1GBV-53-NO051A</t>
        </is>
      </c>
      <c r="K130" s="69" t="n"/>
      <c r="L130" s="69" t="n"/>
      <c r="M130" s="62" t="inlineStr">
        <is>
          <t>Valve Packing Replacement</t>
        </is>
      </c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2" t="n">
        <v>1</v>
      </c>
      <c r="X130" s="62" t="n">
        <v>1</v>
      </c>
      <c r="Y130" s="456" t="n"/>
      <c r="Z130" s="69" t="n"/>
      <c r="AA130" s="62" t="n">
        <v>1500</v>
      </c>
      <c r="AB130" s="62" t="n">
        <v>1500</v>
      </c>
      <c r="AC130" s="73" t="n"/>
      <c r="AD130" s="69" t="n"/>
      <c r="AE130" s="69" t="n"/>
      <c r="AF130" s="73" t="n"/>
      <c r="AG130" s="69" t="n"/>
      <c r="AH130" s="85" t="n"/>
    </row>
    <row r="131">
      <c r="A131" s="82" t="n">
        <v>134</v>
      </c>
      <c r="B131" s="75" t="n">
        <v>81754015</v>
      </c>
      <c r="C131" s="62" t="inlineStr">
        <is>
          <t>UTSMC012</t>
        </is>
      </c>
      <c r="D131" s="62" t="inlineStr">
        <is>
          <t>Utility</t>
        </is>
      </c>
      <c r="E131" s="62" t="n">
        <v>53</v>
      </c>
      <c r="F131" s="62" t="inlineStr">
        <is>
          <t>GLOBE VALVE</t>
        </is>
      </c>
      <c r="G131" s="62" t="inlineStr">
        <is>
          <t>LVF</t>
        </is>
      </c>
      <c r="H131" s="69" t="n"/>
      <c r="I131" s="69" t="n"/>
      <c r="J131" s="129" t="inlineStr">
        <is>
          <t>M237-1.1/2GBV-53-NO407B</t>
        </is>
      </c>
      <c r="K131" s="69" t="n"/>
      <c r="L131" s="69" t="n"/>
      <c r="M131" s="62" t="inlineStr">
        <is>
          <t>Valve Packing Replacement</t>
        </is>
      </c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2" t="inlineStr">
        <is>
          <t>1.1/2</t>
        </is>
      </c>
      <c r="X131" s="62" t="inlineStr">
        <is>
          <t>1.1/2</t>
        </is>
      </c>
      <c r="Y131" s="456" t="n"/>
      <c r="Z131" s="69" t="n"/>
      <c r="AA131" s="62" t="n">
        <v>800</v>
      </c>
      <c r="AB131" s="62" t="n">
        <v>800</v>
      </c>
      <c r="AC131" s="73" t="n"/>
      <c r="AD131" s="69" t="n"/>
      <c r="AE131" s="69" t="n"/>
      <c r="AF131" s="73" t="n"/>
      <c r="AG131" s="69" t="n"/>
      <c r="AH131" s="85" t="n"/>
    </row>
    <row r="132">
      <c r="A132" s="82" t="n">
        <v>135</v>
      </c>
      <c r="B132" s="75" t="n">
        <v>81754016</v>
      </c>
      <c r="C132" s="62" t="inlineStr">
        <is>
          <t>UTSMC047</t>
        </is>
      </c>
      <c r="D132" s="62" t="inlineStr">
        <is>
          <t>Utility</t>
        </is>
      </c>
      <c r="E132" s="62" t="n">
        <v>53</v>
      </c>
      <c r="F132" s="62" t="inlineStr">
        <is>
          <t>GLOBE VALVE</t>
        </is>
      </c>
      <c r="G132" s="62" t="inlineStr">
        <is>
          <t>LVF</t>
        </is>
      </c>
      <c r="H132" s="69" t="n"/>
      <c r="I132" s="69" t="n"/>
      <c r="J132" s="129" t="inlineStr">
        <is>
          <t>M237-1GBV-53-NO434B</t>
        </is>
      </c>
      <c r="K132" s="69" t="n"/>
      <c r="L132" s="69" t="n"/>
      <c r="M132" s="62" t="inlineStr">
        <is>
          <t>Valve Packing Replacement</t>
        </is>
      </c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2" t="n">
        <v>1</v>
      </c>
      <c r="X132" s="62" t="n">
        <v>1</v>
      </c>
      <c r="Y132" s="456" t="n"/>
      <c r="Z132" s="69" t="n"/>
      <c r="AA132" s="62" t="n">
        <v>800</v>
      </c>
      <c r="AB132" s="62" t="n">
        <v>800</v>
      </c>
      <c r="AC132" s="73" t="n"/>
      <c r="AD132" s="69" t="n"/>
      <c r="AE132" s="69" t="n"/>
      <c r="AF132" s="73" t="n"/>
      <c r="AG132" s="69" t="n"/>
      <c r="AH132" s="85" t="n"/>
    </row>
    <row r="133">
      <c r="A133" s="82" t="n">
        <v>136</v>
      </c>
      <c r="B133" s="75" t="n">
        <v>81799079</v>
      </c>
      <c r="C133" s="62" t="inlineStr">
        <is>
          <t>UTSMC102</t>
        </is>
      </c>
      <c r="D133" s="62" t="inlineStr">
        <is>
          <t>Utility</t>
        </is>
      </c>
      <c r="E133" s="62" t="n">
        <v>54</v>
      </c>
      <c r="F133" s="62" t="inlineStr">
        <is>
          <t>BUTTERFLY VALVE</t>
        </is>
      </c>
      <c r="G133" s="62" t="inlineStr">
        <is>
          <t>ORTON</t>
        </is>
      </c>
      <c r="H133" s="69" t="n"/>
      <c r="I133" s="69" t="n"/>
      <c r="J133" s="129" t="inlineStr">
        <is>
          <t>M237-40BFV-5401</t>
        </is>
      </c>
      <c r="K133" s="69" t="n"/>
      <c r="L133" s="69" t="n"/>
      <c r="M133" s="62" t="inlineStr">
        <is>
          <t>Valve Packing Replacement</t>
        </is>
      </c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2" t="n">
        <v>40</v>
      </c>
      <c r="X133" s="62" t="n">
        <v>40</v>
      </c>
      <c r="Y133" s="456" t="n"/>
      <c r="Z133" s="69" t="n"/>
      <c r="AA133" s="62" t="n">
        <v>150</v>
      </c>
      <c r="AB133" s="62" t="n">
        <v>150</v>
      </c>
      <c r="AC133" s="73" t="n"/>
      <c r="AD133" s="69" t="n"/>
      <c r="AE133" s="69" t="n"/>
      <c r="AF133" s="73" t="n"/>
      <c r="AG133" s="69" t="n"/>
      <c r="AH133" s="85" t="n"/>
    </row>
    <row r="134">
      <c r="A134" s="82" t="n">
        <v>137</v>
      </c>
      <c r="B134" s="75" t="n">
        <v>81799080</v>
      </c>
      <c r="C134" s="62" t="inlineStr">
        <is>
          <t>UTSMC103</t>
        </is>
      </c>
      <c r="D134" s="62" t="inlineStr">
        <is>
          <t>Utility</t>
        </is>
      </c>
      <c r="E134" s="62" t="n">
        <v>54</v>
      </c>
      <c r="F134" s="62" t="inlineStr">
        <is>
          <t>BUTTERFLY VALVE</t>
        </is>
      </c>
      <c r="G134" s="62" t="inlineStr">
        <is>
          <t>ORTON</t>
        </is>
      </c>
      <c r="H134" s="69" t="n"/>
      <c r="I134" s="69" t="n"/>
      <c r="J134" s="129" t="inlineStr">
        <is>
          <t>M237-40BFV-5402</t>
        </is>
      </c>
      <c r="K134" s="69" t="n"/>
      <c r="L134" s="69" t="n"/>
      <c r="M134" s="62" t="inlineStr">
        <is>
          <t>Valve Packing Replacement</t>
        </is>
      </c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2" t="n">
        <v>40</v>
      </c>
      <c r="X134" s="62" t="n">
        <v>40</v>
      </c>
      <c r="Y134" s="456" t="n"/>
      <c r="Z134" s="69" t="n"/>
      <c r="AA134" s="62" t="n">
        <v>150</v>
      </c>
      <c r="AB134" s="62" t="n">
        <v>150</v>
      </c>
      <c r="AC134" s="73" t="n"/>
      <c r="AD134" s="69" t="n"/>
      <c r="AE134" s="69" t="n"/>
      <c r="AF134" s="73" t="n"/>
      <c r="AG134" s="69" t="n"/>
      <c r="AH134" s="85" t="n"/>
    </row>
    <row r="135">
      <c r="A135" s="82" t="n">
        <v>138</v>
      </c>
      <c r="B135" s="75" t="n">
        <v>81799091</v>
      </c>
      <c r="C135" s="62" t="inlineStr">
        <is>
          <t>UTSMC114</t>
        </is>
      </c>
      <c r="D135" s="62" t="inlineStr">
        <is>
          <t>Utility</t>
        </is>
      </c>
      <c r="E135" s="62" t="n">
        <v>53</v>
      </c>
      <c r="F135" s="62" t="inlineStr">
        <is>
          <t>GATE VALVE</t>
        </is>
      </c>
      <c r="G135" s="62" t="inlineStr">
        <is>
          <t>LVF</t>
        </is>
      </c>
      <c r="H135" s="69" t="n"/>
      <c r="I135" s="69" t="n"/>
      <c r="J135" s="129" t="inlineStr">
        <is>
          <t>M237-6GGTV-53-NO002A</t>
        </is>
      </c>
      <c r="K135" s="69" t="n"/>
      <c r="L135" s="69" t="n"/>
      <c r="M135" s="62" t="inlineStr">
        <is>
          <t>Valve Packing Replacement</t>
        </is>
      </c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2" t="n">
        <v>6</v>
      </c>
      <c r="X135" s="62" t="n">
        <v>6</v>
      </c>
      <c r="Y135" s="456" t="n"/>
      <c r="Z135" s="69" t="n"/>
      <c r="AA135" s="62" t="n">
        <v>1500</v>
      </c>
      <c r="AB135" s="62" t="n">
        <v>1500</v>
      </c>
      <c r="AC135" s="73" t="n"/>
      <c r="AD135" s="69" t="n"/>
      <c r="AE135" s="69" t="n"/>
      <c r="AF135" s="73" t="n"/>
      <c r="AG135" s="69" t="n"/>
      <c r="AH135" s="85" t="n"/>
    </row>
    <row r="136">
      <c r="A136" s="82" t="n">
        <v>139</v>
      </c>
      <c r="B136" s="75" t="n">
        <v>81799092</v>
      </c>
      <c r="C136" s="62" t="inlineStr">
        <is>
          <t>UTSMC116</t>
        </is>
      </c>
      <c r="D136" s="62" t="inlineStr">
        <is>
          <t>Utility</t>
        </is>
      </c>
      <c r="E136" s="62" t="n">
        <v>53</v>
      </c>
      <c r="F136" s="62" t="inlineStr">
        <is>
          <t>GATE VALVE</t>
        </is>
      </c>
      <c r="G136" s="62" t="inlineStr">
        <is>
          <t>LVF</t>
        </is>
      </c>
      <c r="H136" s="69" t="n"/>
      <c r="I136" s="69" t="n"/>
      <c r="J136" s="129" t="inlineStr">
        <is>
          <t>M237-6GGTV-53-NO004A</t>
        </is>
      </c>
      <c r="K136" s="69" t="n"/>
      <c r="L136" s="69" t="n"/>
      <c r="M136" s="62" t="inlineStr">
        <is>
          <t>Valve Packing Replacement</t>
        </is>
      </c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2" t="n">
        <v>6</v>
      </c>
      <c r="X136" s="62" t="n">
        <v>6</v>
      </c>
      <c r="Y136" s="456" t="n"/>
      <c r="Z136" s="69" t="n"/>
      <c r="AA136" s="62" t="n">
        <v>1500</v>
      </c>
      <c r="AB136" s="62" t="n">
        <v>1500</v>
      </c>
      <c r="AC136" s="73" t="n"/>
      <c r="AD136" s="69" t="n"/>
      <c r="AE136" s="69" t="n"/>
      <c r="AF136" s="73" t="n"/>
      <c r="AG136" s="69" t="n"/>
      <c r="AH136" s="85" t="n"/>
    </row>
    <row r="137">
      <c r="A137" s="82" t="n">
        <v>140</v>
      </c>
      <c r="B137" s="75" t="n">
        <v>81799093</v>
      </c>
      <c r="C137" s="62" t="inlineStr">
        <is>
          <t>UTSMC112</t>
        </is>
      </c>
      <c r="D137" s="62" t="inlineStr">
        <is>
          <t>Utility</t>
        </is>
      </c>
      <c r="E137" s="62" t="n">
        <v>53</v>
      </c>
      <c r="F137" s="62" t="inlineStr">
        <is>
          <t>GATE VALVE</t>
        </is>
      </c>
      <c r="G137" s="62" t="inlineStr">
        <is>
          <t>LVF</t>
        </is>
      </c>
      <c r="H137" s="69" t="n"/>
      <c r="I137" s="69" t="n"/>
      <c r="J137" s="129" t="inlineStr">
        <is>
          <t>M237-6GGTV-53-NO001A</t>
        </is>
      </c>
      <c r="K137" s="69" t="n"/>
      <c r="L137" s="69" t="n"/>
      <c r="M137" s="62" t="inlineStr">
        <is>
          <t>Valve Packing Replacement</t>
        </is>
      </c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2" t="n">
        <v>6</v>
      </c>
      <c r="X137" s="62" t="n">
        <v>6</v>
      </c>
      <c r="Y137" s="456" t="n"/>
      <c r="Z137" s="69" t="n"/>
      <c r="AA137" s="62" t="n">
        <v>1500</v>
      </c>
      <c r="AB137" s="62" t="n">
        <v>1500</v>
      </c>
      <c r="AC137" s="73" t="n"/>
      <c r="AD137" s="69" t="n"/>
      <c r="AE137" s="69" t="n"/>
      <c r="AF137" s="73" t="n"/>
      <c r="AG137" s="69" t="n"/>
      <c r="AH137" s="85" t="n"/>
    </row>
    <row r="138">
      <c r="A138" s="82" t="n">
        <v>143</v>
      </c>
      <c r="B138" s="75" t="n">
        <v>81799096</v>
      </c>
      <c r="C138" s="62" t="inlineStr">
        <is>
          <t>UTSMC123</t>
        </is>
      </c>
      <c r="D138" s="62" t="inlineStr">
        <is>
          <t>Utility</t>
        </is>
      </c>
      <c r="E138" s="62" t="n">
        <v>53</v>
      </c>
      <c r="F138" s="62" t="inlineStr">
        <is>
          <t>GATE VALVE</t>
        </is>
      </c>
      <c r="G138" s="62" t="inlineStr">
        <is>
          <t>ORION</t>
        </is>
      </c>
      <c r="H138" s="69" t="n"/>
      <c r="I138" s="69" t="n"/>
      <c r="J138" s="129" t="inlineStr">
        <is>
          <t>M237-6GTV-53-NO040B</t>
        </is>
      </c>
      <c r="K138" s="69" t="n"/>
      <c r="L138" s="69" t="n"/>
      <c r="M138" s="62" t="inlineStr">
        <is>
          <t>Valve Packing Replacement</t>
        </is>
      </c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2" t="n">
        <v>6</v>
      </c>
      <c r="X138" s="62" t="n">
        <v>6</v>
      </c>
      <c r="Y138" s="456" t="n"/>
      <c r="Z138" s="69" t="n"/>
      <c r="AA138" s="62" t="n">
        <v>1500</v>
      </c>
      <c r="AB138" s="62" t="n">
        <v>1500</v>
      </c>
      <c r="AC138" s="73" t="n"/>
      <c r="AD138" s="69" t="n"/>
      <c r="AE138" s="69" t="n"/>
      <c r="AF138" s="73" t="n"/>
      <c r="AG138" s="69" t="n"/>
      <c r="AH138" s="85" t="n"/>
    </row>
    <row r="139">
      <c r="A139" s="82" t="n">
        <v>144</v>
      </c>
      <c r="B139" s="75" t="n">
        <v>81799097</v>
      </c>
      <c r="C139" s="62" t="inlineStr">
        <is>
          <t>UTSMC131</t>
        </is>
      </c>
      <c r="D139" s="62" t="inlineStr">
        <is>
          <t>Utility</t>
        </is>
      </c>
      <c r="E139" s="62" t="n">
        <v>53</v>
      </c>
      <c r="F139" s="62" t="inlineStr">
        <is>
          <t>GATE VALVE</t>
        </is>
      </c>
      <c r="G139" s="62" t="inlineStr">
        <is>
          <t>ORION</t>
        </is>
      </c>
      <c r="H139" s="69" t="n"/>
      <c r="I139" s="69" t="n"/>
      <c r="J139" s="129" t="inlineStr">
        <is>
          <t>M237-8GTV-53-NO041B</t>
        </is>
      </c>
      <c r="K139" s="69" t="n"/>
      <c r="L139" s="69" t="n"/>
      <c r="M139" s="62" t="inlineStr">
        <is>
          <t>Valve Packing Replacement</t>
        </is>
      </c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2" t="n">
        <v>8</v>
      </c>
      <c r="X139" s="62" t="n">
        <v>8</v>
      </c>
      <c r="Y139" s="456" t="n"/>
      <c r="Z139" s="69" t="n"/>
      <c r="AA139" s="62" t="n">
        <v>150</v>
      </c>
      <c r="AB139" s="62" t="n">
        <v>150</v>
      </c>
      <c r="AC139" s="73" t="n"/>
      <c r="AD139" s="69" t="n"/>
      <c r="AE139" s="69" t="n"/>
      <c r="AF139" s="73" t="n"/>
      <c r="AG139" s="69" t="n"/>
      <c r="AH139" s="85" t="n"/>
    </row>
    <row r="140">
      <c r="A140" s="82" t="n">
        <v>149</v>
      </c>
      <c r="B140" s="75" t="n">
        <v>81799154</v>
      </c>
      <c r="C140" s="62" t="inlineStr">
        <is>
          <t>UTSMC045</t>
        </is>
      </c>
      <c r="D140" s="62" t="inlineStr">
        <is>
          <t>Utility</t>
        </is>
      </c>
      <c r="E140" s="62" t="n">
        <v>53</v>
      </c>
      <c r="F140" s="62" t="inlineStr">
        <is>
          <t>GLOBE VALVE</t>
        </is>
      </c>
      <c r="G140" s="62" t="inlineStr">
        <is>
          <t>BONETTI</t>
        </is>
      </c>
      <c r="H140" s="69" t="n"/>
      <c r="I140" s="69" t="n"/>
      <c r="J140" s="129" t="inlineStr">
        <is>
          <t>M237-1GBV-53-NO051B</t>
        </is>
      </c>
      <c r="K140" s="69" t="n"/>
      <c r="L140" s="69" t="n"/>
      <c r="M140" s="62" t="inlineStr">
        <is>
          <t>Valve Packing Replacement</t>
        </is>
      </c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2" t="n">
        <v>1</v>
      </c>
      <c r="X140" s="62" t="n">
        <v>1</v>
      </c>
      <c r="Y140" s="456" t="n"/>
      <c r="Z140" s="69" t="n"/>
      <c r="AA140" s="62" t="n">
        <v>1500</v>
      </c>
      <c r="AB140" s="62" t="n">
        <v>1500</v>
      </c>
      <c r="AC140" s="73" t="n"/>
      <c r="AD140" s="69" t="n"/>
      <c r="AE140" s="69" t="n"/>
      <c r="AF140" s="73" t="n"/>
      <c r="AG140" s="69" t="n"/>
      <c r="AH140" s="85" t="n"/>
    </row>
    <row r="141">
      <c r="A141" s="82" t="n">
        <v>150</v>
      </c>
      <c r="B141" s="75" t="n">
        <v>81799155</v>
      </c>
      <c r="C141" s="62" t="inlineStr">
        <is>
          <t>UTSMC048</t>
        </is>
      </c>
      <c r="D141" s="62" t="inlineStr">
        <is>
          <t>Utility</t>
        </is>
      </c>
      <c r="E141" s="62" t="n">
        <v>54</v>
      </c>
      <c r="F141" s="62" t="inlineStr">
        <is>
          <t>GLOBE VALVE</t>
        </is>
      </c>
      <c r="G141" s="62" t="inlineStr">
        <is>
          <t>BFE</t>
        </is>
      </c>
      <c r="H141" s="69" t="n"/>
      <c r="I141" s="69" t="n"/>
      <c r="J141" s="129" t="inlineStr">
        <is>
          <t>M237-1GBV-5401B</t>
        </is>
      </c>
      <c r="K141" s="69" t="n"/>
      <c r="L141" s="69" t="n"/>
      <c r="M141" s="62" t="inlineStr">
        <is>
          <t>Valve Packing Replacement</t>
        </is>
      </c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2" t="n">
        <v>1</v>
      </c>
      <c r="X141" s="62" t="n">
        <v>1</v>
      </c>
      <c r="Y141" s="456" t="n"/>
      <c r="Z141" s="69" t="n"/>
      <c r="AA141" s="62" t="n">
        <v>800</v>
      </c>
      <c r="AB141" s="62" t="n">
        <v>800</v>
      </c>
      <c r="AC141" s="73" t="n"/>
      <c r="AD141" s="69" t="n"/>
      <c r="AE141" s="69" t="n"/>
      <c r="AF141" s="73" t="n"/>
      <c r="AG141" s="69" t="n"/>
      <c r="AH141" s="85" t="n"/>
    </row>
    <row r="142">
      <c r="A142" s="82" t="n">
        <v>151</v>
      </c>
      <c r="B142" s="75" t="n">
        <v>81799156</v>
      </c>
      <c r="C142" s="62" t="inlineStr">
        <is>
          <t>UTSMC023</t>
        </is>
      </c>
      <c r="D142" s="62" t="inlineStr">
        <is>
          <t>Utility</t>
        </is>
      </c>
      <c r="E142" s="62" t="n">
        <v>54</v>
      </c>
      <c r="F142" s="62" t="inlineStr">
        <is>
          <t>GLOBE VALVE</t>
        </is>
      </c>
      <c r="G142" s="62" t="inlineStr">
        <is>
          <t>BFE</t>
        </is>
      </c>
      <c r="H142" s="69" t="n"/>
      <c r="I142" s="69" t="n"/>
      <c r="J142" s="129" t="inlineStr">
        <is>
          <t>M237-11/2GBV-5401</t>
        </is>
      </c>
      <c r="K142" s="69" t="n"/>
      <c r="L142" s="69" t="n"/>
      <c r="M142" s="62" t="inlineStr">
        <is>
          <t>Valve Packing Replacement</t>
        </is>
      </c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2" t="inlineStr">
        <is>
          <t>1.1/2</t>
        </is>
      </c>
      <c r="X142" s="62" t="inlineStr">
        <is>
          <t>1.1/2</t>
        </is>
      </c>
      <c r="Y142" s="456" t="n"/>
      <c r="Z142" s="69" t="n"/>
      <c r="AA142" s="62" t="n">
        <v>150</v>
      </c>
      <c r="AB142" s="62" t="n">
        <v>150</v>
      </c>
      <c r="AC142" s="73" t="n"/>
      <c r="AD142" s="69" t="n"/>
      <c r="AE142" s="69" t="n"/>
      <c r="AF142" s="73" t="n"/>
      <c r="AG142" s="69" t="n"/>
      <c r="AH142" s="85" t="n"/>
    </row>
    <row r="143">
      <c r="A143" s="82" t="n">
        <v>152</v>
      </c>
      <c r="B143" s="75" t="n">
        <v>81799157</v>
      </c>
      <c r="C143" s="62" t="inlineStr">
        <is>
          <t>UTSMC024</t>
        </is>
      </c>
      <c r="D143" s="62" t="inlineStr">
        <is>
          <t>Utility</t>
        </is>
      </c>
      <c r="E143" s="62" t="n">
        <v>54</v>
      </c>
      <c r="F143" s="62" t="inlineStr">
        <is>
          <t>GLOBE VALVE</t>
        </is>
      </c>
      <c r="G143" s="62" t="inlineStr">
        <is>
          <t>BFE</t>
        </is>
      </c>
      <c r="H143" s="69" t="n"/>
      <c r="I143" s="69" t="n"/>
      <c r="J143" s="129" t="inlineStr">
        <is>
          <t>M237-11/2GBV-5402</t>
        </is>
      </c>
      <c r="K143" s="69" t="n"/>
      <c r="L143" s="69" t="n"/>
      <c r="M143" s="62" t="inlineStr">
        <is>
          <t>Valve Packing Replacement</t>
        </is>
      </c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2" t="inlineStr">
        <is>
          <t>1.1/2</t>
        </is>
      </c>
      <c r="X143" s="62" t="inlineStr">
        <is>
          <t>1.1/2</t>
        </is>
      </c>
      <c r="Y143" s="456" t="n"/>
      <c r="Z143" s="69" t="n"/>
      <c r="AA143" s="62" t="n">
        <v>150</v>
      </c>
      <c r="AB143" s="62" t="n">
        <v>150</v>
      </c>
      <c r="AC143" s="73" t="n"/>
      <c r="AD143" s="69" t="n"/>
      <c r="AE143" s="69" t="n"/>
      <c r="AF143" s="73" t="n"/>
      <c r="AG143" s="69" t="n"/>
      <c r="AH143" s="85" t="n"/>
    </row>
    <row r="144">
      <c r="A144" s="82" t="n">
        <v>153</v>
      </c>
      <c r="B144" s="75" t="n">
        <v>81799158</v>
      </c>
      <c r="C144" s="62" t="inlineStr">
        <is>
          <t>UTSMC049</t>
        </is>
      </c>
      <c r="D144" s="62" t="inlineStr">
        <is>
          <t>Utility</t>
        </is>
      </c>
      <c r="E144" s="62" t="n">
        <v>54</v>
      </c>
      <c r="F144" s="62" t="inlineStr">
        <is>
          <t>GLOBE VALVE</t>
        </is>
      </c>
      <c r="G144" s="62" t="inlineStr">
        <is>
          <t>BFE</t>
        </is>
      </c>
      <c r="H144" s="69" t="n"/>
      <c r="I144" s="69" t="n"/>
      <c r="J144" s="129" t="inlineStr">
        <is>
          <t>M237-1GBV-5402A</t>
        </is>
      </c>
      <c r="K144" s="69" t="n"/>
      <c r="L144" s="69" t="n"/>
      <c r="M144" s="62" t="inlineStr">
        <is>
          <t>Valve Packing Replacement</t>
        </is>
      </c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2" t="n">
        <v>1</v>
      </c>
      <c r="X144" s="62" t="n">
        <v>1</v>
      </c>
      <c r="Y144" s="456" t="n"/>
      <c r="Z144" s="69" t="n"/>
      <c r="AA144" s="62" t="n">
        <v>800</v>
      </c>
      <c r="AB144" s="62" t="n">
        <v>800</v>
      </c>
      <c r="AC144" s="73" t="n"/>
      <c r="AD144" s="69" t="n"/>
      <c r="AE144" s="69" t="n"/>
      <c r="AF144" s="73" t="n"/>
      <c r="AG144" s="69" t="n"/>
      <c r="AH144" s="85" t="n"/>
    </row>
    <row r="145">
      <c r="A145" s="82" t="n">
        <v>154</v>
      </c>
      <c r="B145" s="75" t="n">
        <v>81799159</v>
      </c>
      <c r="C145" s="62" t="inlineStr">
        <is>
          <t>UTSMC050</t>
        </is>
      </c>
      <c r="D145" s="62" t="inlineStr">
        <is>
          <t>Utility</t>
        </is>
      </c>
      <c r="E145" s="62" t="n">
        <v>54</v>
      </c>
      <c r="F145" s="62" t="inlineStr">
        <is>
          <t>GLOBE VALVE</t>
        </is>
      </c>
      <c r="G145" s="62" t="inlineStr">
        <is>
          <t>BFE</t>
        </is>
      </c>
      <c r="H145" s="69" t="n"/>
      <c r="I145" s="69" t="n"/>
      <c r="J145" s="129" t="inlineStr">
        <is>
          <t>M237-1GBV-5403A</t>
        </is>
      </c>
      <c r="K145" s="69" t="n"/>
      <c r="L145" s="69" t="n"/>
      <c r="M145" s="62" t="inlineStr">
        <is>
          <t>Valve Packing Replacement</t>
        </is>
      </c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2" t="n">
        <v>1</v>
      </c>
      <c r="X145" s="62" t="n">
        <v>1</v>
      </c>
      <c r="Y145" s="456" t="n"/>
      <c r="Z145" s="69" t="n"/>
      <c r="AA145" s="62" t="n">
        <v>800</v>
      </c>
      <c r="AB145" s="62" t="n">
        <v>800</v>
      </c>
      <c r="AC145" s="73" t="n"/>
      <c r="AD145" s="69" t="n"/>
      <c r="AE145" s="69" t="n"/>
      <c r="AF145" s="73" t="n"/>
      <c r="AG145" s="69" t="n"/>
      <c r="AH145" s="85" t="n"/>
    </row>
    <row r="146">
      <c r="A146" s="82" t="n">
        <v>155</v>
      </c>
      <c r="B146" s="75" t="n">
        <v>81799193</v>
      </c>
      <c r="C146" s="62" t="inlineStr">
        <is>
          <t>UTSMC118</t>
        </is>
      </c>
      <c r="D146" s="62" t="inlineStr">
        <is>
          <t>Utility</t>
        </is>
      </c>
      <c r="E146" s="62" t="n">
        <v>51</v>
      </c>
      <c r="F146" s="62" t="inlineStr">
        <is>
          <t>GATE VALVE</t>
        </is>
      </c>
      <c r="G146" s="62" t="inlineStr">
        <is>
          <t>LVF</t>
        </is>
      </c>
      <c r="H146" s="69" t="n"/>
      <c r="I146" s="69" t="n"/>
      <c r="J146" s="129" t="inlineStr">
        <is>
          <t>M237-6GTV-5101A</t>
        </is>
      </c>
      <c r="K146" s="69" t="n"/>
      <c r="L146" s="69" t="n"/>
      <c r="M146" s="62" t="inlineStr">
        <is>
          <t>Valve Packing Replacement</t>
        </is>
      </c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2" t="n">
        <v>6</v>
      </c>
      <c r="X146" s="62" t="n">
        <v>6</v>
      </c>
      <c r="Y146" s="456" t="n"/>
      <c r="Z146" s="69" t="n"/>
      <c r="AA146" s="62" t="n">
        <v>600</v>
      </c>
      <c r="AB146" s="62" t="n">
        <v>600</v>
      </c>
      <c r="AC146" s="73" t="n"/>
      <c r="AD146" s="69" t="n"/>
      <c r="AE146" s="69" t="n"/>
      <c r="AF146" s="73" t="n"/>
      <c r="AG146" s="69" t="n"/>
      <c r="AH146" s="85" t="n"/>
    </row>
    <row r="147">
      <c r="A147" s="82" t="n">
        <v>156</v>
      </c>
      <c r="B147" s="75" t="n">
        <v>81799194</v>
      </c>
      <c r="C147" s="62" t="inlineStr">
        <is>
          <t>UTSMC025</t>
        </is>
      </c>
      <c r="D147" s="62" t="inlineStr">
        <is>
          <t>Utility</t>
        </is>
      </c>
      <c r="E147" s="62" t="n">
        <v>51</v>
      </c>
      <c r="F147" s="62" t="inlineStr">
        <is>
          <t>GATE VALVE</t>
        </is>
      </c>
      <c r="G147" s="62" t="inlineStr">
        <is>
          <t>PK VALVE</t>
        </is>
      </c>
      <c r="H147" s="69" t="n"/>
      <c r="I147" s="69" t="n"/>
      <c r="J147" s="129" t="inlineStr">
        <is>
          <t>M237-12GTV-5101A</t>
        </is>
      </c>
      <c r="K147" s="69" t="n"/>
      <c r="L147" s="69" t="n"/>
      <c r="M147" s="62" t="inlineStr">
        <is>
          <t>Valve Packing Replacement</t>
        </is>
      </c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2" t="n">
        <v>12</v>
      </c>
      <c r="X147" s="62" t="n">
        <v>12</v>
      </c>
      <c r="Y147" s="456" t="n"/>
      <c r="Z147" s="69" t="n"/>
      <c r="AA147" s="62" t="n">
        <v>150</v>
      </c>
      <c r="AB147" s="62" t="n">
        <v>150</v>
      </c>
      <c r="AC147" s="73" t="n"/>
      <c r="AD147" s="69" t="n"/>
      <c r="AE147" s="69" t="n"/>
      <c r="AF147" s="73" t="n"/>
      <c r="AG147" s="69" t="n"/>
      <c r="AH147" s="85" t="n"/>
    </row>
    <row r="148">
      <c r="A148" s="82" t="n">
        <v>157</v>
      </c>
      <c r="B148" s="75" t="n">
        <v>81799195</v>
      </c>
      <c r="C148" s="62" t="inlineStr">
        <is>
          <t>UTSMC119</t>
        </is>
      </c>
      <c r="D148" s="62" t="inlineStr">
        <is>
          <t>Utility</t>
        </is>
      </c>
      <c r="E148" s="62" t="n">
        <v>51</v>
      </c>
      <c r="F148" s="62" t="inlineStr">
        <is>
          <t>GATE VALVE</t>
        </is>
      </c>
      <c r="G148" s="62" t="inlineStr">
        <is>
          <t>LVF</t>
        </is>
      </c>
      <c r="H148" s="69" t="n"/>
      <c r="I148" s="69" t="n"/>
      <c r="J148" s="129" t="inlineStr">
        <is>
          <t>M237-6GTV--5101B</t>
        </is>
      </c>
      <c r="K148" s="69" t="n"/>
      <c r="L148" s="69" t="n"/>
      <c r="M148" s="62" t="inlineStr">
        <is>
          <t>Valve Packing Replacement</t>
        </is>
      </c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2" t="n">
        <v>6</v>
      </c>
      <c r="X148" s="62" t="n">
        <v>6</v>
      </c>
      <c r="Y148" s="456" t="n"/>
      <c r="Z148" s="69" t="n"/>
      <c r="AA148" s="62" t="n">
        <v>600</v>
      </c>
      <c r="AB148" s="62" t="n">
        <v>600</v>
      </c>
      <c r="AC148" s="73" t="n"/>
      <c r="AD148" s="69" t="n"/>
      <c r="AE148" s="69" t="n"/>
      <c r="AF148" s="73" t="n"/>
      <c r="AG148" s="69" t="n"/>
      <c r="AH148" s="85" t="n"/>
    </row>
    <row r="149">
      <c r="A149" s="82" t="n">
        <v>158</v>
      </c>
      <c r="B149" s="75" t="n">
        <v>81799196</v>
      </c>
      <c r="C149" s="62" t="inlineStr">
        <is>
          <t>UTSMC026</t>
        </is>
      </c>
      <c r="D149" s="62" t="inlineStr">
        <is>
          <t>Utility</t>
        </is>
      </c>
      <c r="E149" s="62" t="n">
        <v>51</v>
      </c>
      <c r="F149" s="62" t="inlineStr">
        <is>
          <t>GATE VALVE</t>
        </is>
      </c>
      <c r="G149" s="62" t="inlineStr">
        <is>
          <t>PK VALVE</t>
        </is>
      </c>
      <c r="H149" s="69" t="n"/>
      <c r="I149" s="69" t="n"/>
      <c r="J149" s="129" t="inlineStr">
        <is>
          <t>M237-12GTV-5101B</t>
        </is>
      </c>
      <c r="K149" s="69" t="n"/>
      <c r="L149" s="69" t="n"/>
      <c r="M149" s="62" t="inlineStr">
        <is>
          <t>Valve Packing Replacement</t>
        </is>
      </c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2" t="n">
        <v>12</v>
      </c>
      <c r="X149" s="62" t="n">
        <v>12</v>
      </c>
      <c r="Y149" s="456" t="n"/>
      <c r="Z149" s="69" t="n"/>
      <c r="AA149" s="62" t="n">
        <v>600</v>
      </c>
      <c r="AB149" s="62" t="n">
        <v>600</v>
      </c>
      <c r="AC149" s="73" t="n"/>
      <c r="AD149" s="69" t="n"/>
      <c r="AE149" s="69" t="n"/>
      <c r="AF149" s="73" t="n"/>
      <c r="AG149" s="69" t="n"/>
      <c r="AH149" s="85" t="n"/>
    </row>
    <row r="150">
      <c r="A150" s="82" t="n">
        <v>159</v>
      </c>
      <c r="B150" s="75" t="n">
        <v>81799197</v>
      </c>
      <c r="C150" s="62" t="inlineStr">
        <is>
          <t>UTSMC120</t>
        </is>
      </c>
      <c r="D150" s="62" t="inlineStr">
        <is>
          <t>Utility</t>
        </is>
      </c>
      <c r="E150" s="62" t="n">
        <v>52</v>
      </c>
      <c r="F150" s="62" t="inlineStr">
        <is>
          <t>GATE VALVE</t>
        </is>
      </c>
      <c r="G150" s="62" t="inlineStr">
        <is>
          <t>LVF</t>
        </is>
      </c>
      <c r="H150" s="69" t="n"/>
      <c r="I150" s="69" t="n"/>
      <c r="J150" s="129" t="inlineStr">
        <is>
          <t>M237-6GTV-5201</t>
        </is>
      </c>
      <c r="K150" s="69" t="n"/>
      <c r="L150" s="69" t="n"/>
      <c r="M150" s="62" t="inlineStr">
        <is>
          <t>Valve Packing Replacement</t>
        </is>
      </c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2" t="n">
        <v>6</v>
      </c>
      <c r="X150" s="62" t="n">
        <v>6</v>
      </c>
      <c r="Y150" s="456" t="n"/>
      <c r="Z150" s="69" t="n"/>
      <c r="AA150" s="62" t="n">
        <v>1500</v>
      </c>
      <c r="AB150" s="62" t="n">
        <v>1500</v>
      </c>
      <c r="AC150" s="73" t="n"/>
      <c r="AD150" s="69" t="n"/>
      <c r="AE150" s="69" t="n"/>
      <c r="AF150" s="73" t="n"/>
      <c r="AG150" s="69" t="n"/>
      <c r="AH150" s="85" t="n"/>
    </row>
    <row r="151">
      <c r="A151" s="82" t="n">
        <v>160</v>
      </c>
      <c r="B151" s="75" t="n">
        <v>81799198</v>
      </c>
      <c r="C151" s="62" t="inlineStr">
        <is>
          <t>UTSMC021</t>
        </is>
      </c>
      <c r="D151" s="62" t="inlineStr">
        <is>
          <t>Utility</t>
        </is>
      </c>
      <c r="E151" s="62" t="n">
        <v>52</v>
      </c>
      <c r="F151" s="62" t="inlineStr">
        <is>
          <t>GATE VALVE</t>
        </is>
      </c>
      <c r="G151" s="62" t="inlineStr">
        <is>
          <t>PK VALVE</t>
        </is>
      </c>
      <c r="H151" s="69" t="n"/>
      <c r="I151" s="69" t="n"/>
      <c r="J151" s="129" t="inlineStr">
        <is>
          <t>M237-10GTV-5201A</t>
        </is>
      </c>
      <c r="K151" s="69" t="n"/>
      <c r="L151" s="69" t="n"/>
      <c r="M151" s="62" t="inlineStr">
        <is>
          <t>Valve Packing Replacement</t>
        </is>
      </c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2" t="n">
        <v>10</v>
      </c>
      <c r="X151" s="62" t="n">
        <v>10</v>
      </c>
      <c r="Y151" s="456" t="n"/>
      <c r="Z151" s="69" t="n"/>
      <c r="AA151" s="62" t="n">
        <v>150</v>
      </c>
      <c r="AB151" s="62" t="n">
        <v>150</v>
      </c>
      <c r="AC151" s="73" t="n"/>
      <c r="AD151" s="69" t="n"/>
      <c r="AE151" s="69" t="n"/>
      <c r="AF151" s="73" t="n"/>
      <c r="AG151" s="69" t="n"/>
      <c r="AH151" s="85" t="n"/>
    </row>
    <row r="152">
      <c r="A152" s="82" t="n">
        <v>161</v>
      </c>
      <c r="B152" s="75" t="n">
        <v>81799199</v>
      </c>
      <c r="C152" s="62" t="inlineStr">
        <is>
          <t>UTSMC022</t>
        </is>
      </c>
      <c r="D152" s="62" t="inlineStr">
        <is>
          <t>Utility</t>
        </is>
      </c>
      <c r="E152" s="62" t="n">
        <v>52</v>
      </c>
      <c r="F152" s="62" t="inlineStr">
        <is>
          <t>GATE VALVE</t>
        </is>
      </c>
      <c r="G152" s="62" t="inlineStr">
        <is>
          <t>PK VALVE</t>
        </is>
      </c>
      <c r="H152" s="69" t="n"/>
      <c r="I152" s="69" t="n"/>
      <c r="J152" s="129" t="inlineStr">
        <is>
          <t>M237-10GTV-5201B</t>
        </is>
      </c>
      <c r="K152" s="69" t="n"/>
      <c r="L152" s="69" t="n"/>
      <c r="M152" s="62" t="inlineStr">
        <is>
          <t>Valve Packing Replacement</t>
        </is>
      </c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2" t="n">
        <v>10</v>
      </c>
      <c r="X152" s="62" t="n">
        <v>10</v>
      </c>
      <c r="Y152" s="456" t="n"/>
      <c r="Z152" s="69" t="n"/>
      <c r="AA152" s="62" t="n">
        <v>150</v>
      </c>
      <c r="AB152" s="62" t="n">
        <v>150</v>
      </c>
      <c r="AC152" s="73" t="n"/>
      <c r="AD152" s="69" t="n"/>
      <c r="AE152" s="69" t="n"/>
      <c r="AF152" s="73" t="n"/>
      <c r="AG152" s="69" t="n"/>
      <c r="AH152" s="85" t="n"/>
    </row>
    <row r="153">
      <c r="A153" s="82" t="n">
        <v>162</v>
      </c>
      <c r="B153" s="75" t="n">
        <v>81799200</v>
      </c>
      <c r="C153" s="62" t="inlineStr">
        <is>
          <t>UTSMC051</t>
        </is>
      </c>
      <c r="D153" s="62" t="inlineStr">
        <is>
          <t>Utility</t>
        </is>
      </c>
      <c r="E153" s="62" t="n">
        <v>52</v>
      </c>
      <c r="F153" s="62" t="inlineStr">
        <is>
          <t>GATE VALVE</t>
        </is>
      </c>
      <c r="G153" s="62" t="inlineStr">
        <is>
          <t>BFE</t>
        </is>
      </c>
      <c r="H153" s="69" t="n"/>
      <c r="I153" s="69" t="n"/>
      <c r="J153" s="129" t="inlineStr">
        <is>
          <t>M237-1GTV-5201A</t>
        </is>
      </c>
      <c r="K153" s="69" t="n"/>
      <c r="L153" s="69" t="n"/>
      <c r="M153" s="62" t="inlineStr">
        <is>
          <t>Valve Packing Replacement</t>
        </is>
      </c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2" t="n">
        <v>1</v>
      </c>
      <c r="X153" s="62" t="n">
        <v>1</v>
      </c>
      <c r="Y153" s="456" t="n"/>
      <c r="Z153" s="69" t="n"/>
      <c r="AA153" s="62" t="n">
        <v>800</v>
      </c>
      <c r="AB153" s="62" t="n">
        <v>800</v>
      </c>
      <c r="AC153" s="73" t="n"/>
      <c r="AD153" s="69" t="n"/>
      <c r="AE153" s="69" t="n"/>
      <c r="AF153" s="73" t="n"/>
      <c r="AG153" s="69" t="n"/>
      <c r="AH153" s="85" t="n"/>
    </row>
    <row r="154">
      <c r="A154" s="82" t="n">
        <v>163</v>
      </c>
      <c r="B154" s="75" t="n">
        <v>81799201</v>
      </c>
      <c r="C154" s="62" t="inlineStr">
        <is>
          <t>UTSMC052</t>
        </is>
      </c>
      <c r="D154" s="62" t="inlineStr">
        <is>
          <t>Utility</t>
        </is>
      </c>
      <c r="E154" s="62" t="n">
        <v>52</v>
      </c>
      <c r="F154" s="62" t="inlineStr">
        <is>
          <t>GATE VALVE</t>
        </is>
      </c>
      <c r="G154" s="62" t="inlineStr">
        <is>
          <t>BFE</t>
        </is>
      </c>
      <c r="H154" s="69" t="n"/>
      <c r="I154" s="69" t="n"/>
      <c r="J154" s="129" t="inlineStr">
        <is>
          <t>M237-1GTV-5201B</t>
        </is>
      </c>
      <c r="K154" s="69" t="n"/>
      <c r="L154" s="69" t="n"/>
      <c r="M154" s="62" t="inlineStr">
        <is>
          <t>Valve Packing Replacement</t>
        </is>
      </c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2" t="n">
        <v>1</v>
      </c>
      <c r="X154" s="62" t="n">
        <v>1</v>
      </c>
      <c r="Y154" s="456" t="n"/>
      <c r="Z154" s="69" t="n"/>
      <c r="AA154" s="62" t="n">
        <v>800</v>
      </c>
      <c r="AB154" s="62" t="n">
        <v>800</v>
      </c>
      <c r="AC154" s="73" t="n"/>
      <c r="AD154" s="69" t="n"/>
      <c r="AE154" s="69" t="n"/>
      <c r="AF154" s="73" t="n"/>
      <c r="AG154" s="69" t="n"/>
      <c r="AH154" s="85" t="n"/>
    </row>
    <row r="155">
      <c r="A155" s="82" t="n">
        <v>164</v>
      </c>
      <c r="B155" s="75" t="n">
        <v>81799202</v>
      </c>
      <c r="C155" s="62" t="inlineStr">
        <is>
          <t>UTSMC128</t>
        </is>
      </c>
      <c r="D155" s="62" t="inlineStr">
        <is>
          <t>Utility</t>
        </is>
      </c>
      <c r="E155" s="62" t="n">
        <v>52</v>
      </c>
      <c r="F155" s="62" t="inlineStr">
        <is>
          <t>GATE VALVE</t>
        </is>
      </c>
      <c r="G155" s="62" t="inlineStr">
        <is>
          <t>PK VALVE</t>
        </is>
      </c>
      <c r="H155" s="69" t="n"/>
      <c r="I155" s="69" t="n"/>
      <c r="J155" s="129" t="inlineStr">
        <is>
          <t>M237-8GTV-5201A</t>
        </is>
      </c>
      <c r="K155" s="69" t="n"/>
      <c r="L155" s="69" t="n"/>
      <c r="M155" s="62" t="inlineStr">
        <is>
          <t>Valve Packing Replacement</t>
        </is>
      </c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2" t="n">
        <v>8</v>
      </c>
      <c r="X155" s="62" t="n">
        <v>8</v>
      </c>
      <c r="Y155" s="456" t="n"/>
      <c r="Z155" s="69" t="n"/>
      <c r="AA155" s="62" t="n">
        <v>600</v>
      </c>
      <c r="AB155" s="62" t="n">
        <v>600</v>
      </c>
      <c r="AC155" s="73" t="n"/>
      <c r="AD155" s="69" t="n"/>
      <c r="AE155" s="69" t="n"/>
      <c r="AF155" s="73" t="n"/>
      <c r="AG155" s="69" t="n"/>
      <c r="AH155" s="85" t="n"/>
    </row>
    <row r="156">
      <c r="A156" s="82" t="n">
        <v>165</v>
      </c>
      <c r="B156" s="75" t="n">
        <v>81799203</v>
      </c>
      <c r="C156" s="62" t="inlineStr">
        <is>
          <t>UTSMC032</t>
        </is>
      </c>
      <c r="D156" s="62" t="inlineStr">
        <is>
          <t>Utility</t>
        </is>
      </c>
      <c r="E156" s="62" t="n">
        <v>52</v>
      </c>
      <c r="F156" s="62" t="inlineStr">
        <is>
          <t>GATE VALVE</t>
        </is>
      </c>
      <c r="G156" s="62" t="inlineStr">
        <is>
          <t>PK VALVE</t>
        </is>
      </c>
      <c r="H156" s="69" t="n"/>
      <c r="I156" s="69" t="n"/>
      <c r="J156" s="129" t="inlineStr">
        <is>
          <t>M237-16GTV-5201A</t>
        </is>
      </c>
      <c r="K156" s="69" t="n"/>
      <c r="L156" s="69" t="n"/>
      <c r="M156" s="62" t="inlineStr">
        <is>
          <t>Valve Packing Replacement</t>
        </is>
      </c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2" t="n">
        <v>16</v>
      </c>
      <c r="X156" s="62" t="n">
        <v>16</v>
      </c>
      <c r="Y156" s="456" t="n"/>
      <c r="Z156" s="69" t="n"/>
      <c r="AA156" s="62" t="n">
        <v>600</v>
      </c>
      <c r="AB156" s="62" t="n">
        <v>600</v>
      </c>
      <c r="AC156" s="73" t="n"/>
      <c r="AD156" s="69" t="n"/>
      <c r="AE156" s="69" t="n"/>
      <c r="AF156" s="73" t="n"/>
      <c r="AG156" s="69" t="n"/>
      <c r="AH156" s="85" t="n"/>
    </row>
    <row r="157">
      <c r="A157" s="82" t="n">
        <v>166</v>
      </c>
      <c r="B157" s="75" t="n">
        <v>81799204</v>
      </c>
      <c r="C157" s="62" t="inlineStr">
        <is>
          <t>UTSMC129</t>
        </is>
      </c>
      <c r="D157" s="62" t="inlineStr">
        <is>
          <t>Utility</t>
        </is>
      </c>
      <c r="E157" s="62" t="n">
        <v>52</v>
      </c>
      <c r="F157" s="62" t="inlineStr">
        <is>
          <t>GATE VALVE</t>
        </is>
      </c>
      <c r="G157" s="62" t="inlineStr">
        <is>
          <t>PK VALVE</t>
        </is>
      </c>
      <c r="H157" s="69" t="n"/>
      <c r="I157" s="69" t="n"/>
      <c r="J157" s="129" t="inlineStr">
        <is>
          <t>M237-8GTV-5201B</t>
        </is>
      </c>
      <c r="K157" s="69" t="n"/>
      <c r="L157" s="69" t="n"/>
      <c r="M157" s="62" t="inlineStr">
        <is>
          <t>Valve Packing Replacement</t>
        </is>
      </c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2" t="n">
        <v>8</v>
      </c>
      <c r="X157" s="62" t="n">
        <v>8</v>
      </c>
      <c r="Y157" s="456" t="n"/>
      <c r="Z157" s="69" t="n"/>
      <c r="AA157" s="62" t="n">
        <v>600</v>
      </c>
      <c r="AB157" s="62" t="n">
        <v>600</v>
      </c>
      <c r="AC157" s="73" t="n"/>
      <c r="AD157" s="69" t="n"/>
      <c r="AE157" s="69" t="n"/>
      <c r="AF157" s="73" t="n"/>
      <c r="AG157" s="69" t="n"/>
      <c r="AH157" s="85" t="n"/>
    </row>
    <row r="158">
      <c r="A158" s="82" t="n">
        <v>167</v>
      </c>
      <c r="B158" s="75" t="n">
        <v>81799205</v>
      </c>
      <c r="C158" s="62" t="inlineStr">
        <is>
          <t>UTSMC033</t>
        </is>
      </c>
      <c r="D158" s="62" t="inlineStr">
        <is>
          <t>Utility</t>
        </is>
      </c>
      <c r="E158" s="62" t="n">
        <v>52</v>
      </c>
      <c r="F158" s="62" t="inlineStr">
        <is>
          <t>GATE VALVE</t>
        </is>
      </c>
      <c r="G158" s="62" t="inlineStr">
        <is>
          <t>PK VALVE</t>
        </is>
      </c>
      <c r="H158" s="69" t="n"/>
      <c r="I158" s="69" t="n"/>
      <c r="J158" s="129" t="inlineStr">
        <is>
          <t>M237-16GTV-5201B</t>
        </is>
      </c>
      <c r="K158" s="69" t="n"/>
      <c r="L158" s="69" t="n"/>
      <c r="M158" s="62" t="inlineStr">
        <is>
          <t>Valve Packing Replacement</t>
        </is>
      </c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2" t="n">
        <v>16</v>
      </c>
      <c r="X158" s="62" t="n">
        <v>16</v>
      </c>
      <c r="Y158" s="456" t="n"/>
      <c r="Z158" s="69" t="n"/>
      <c r="AA158" s="62" t="n">
        <v>600</v>
      </c>
      <c r="AB158" s="62" t="n">
        <v>600</v>
      </c>
      <c r="AC158" s="73" t="n"/>
      <c r="AD158" s="69" t="n"/>
      <c r="AE158" s="69" t="n"/>
      <c r="AF158" s="73" t="n"/>
      <c r="AG158" s="69" t="n"/>
      <c r="AH158" s="85" t="n"/>
    </row>
    <row r="159">
      <c r="A159" s="82" t="n">
        <v>168</v>
      </c>
      <c r="B159" s="75" t="n">
        <v>81799206</v>
      </c>
      <c r="C159" s="62" t="inlineStr">
        <is>
          <t>UTSMC121</t>
        </is>
      </c>
      <c r="D159" s="62" t="inlineStr">
        <is>
          <t>Utility</t>
        </is>
      </c>
      <c r="E159" s="62" t="n">
        <v>52</v>
      </c>
      <c r="F159" s="62" t="inlineStr">
        <is>
          <t>GATE VALVE</t>
        </is>
      </c>
      <c r="G159" s="62" t="inlineStr">
        <is>
          <t>LVF</t>
        </is>
      </c>
      <c r="H159" s="69" t="n"/>
      <c r="I159" s="69" t="n"/>
      <c r="J159" s="129" t="inlineStr">
        <is>
          <t>M237-6GTV-5202</t>
        </is>
      </c>
      <c r="K159" s="69" t="n"/>
      <c r="L159" s="69" t="n"/>
      <c r="M159" s="62" t="inlineStr">
        <is>
          <t>Valve Packing Replacement</t>
        </is>
      </c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2" t="n">
        <v>6</v>
      </c>
      <c r="X159" s="62" t="n">
        <v>6</v>
      </c>
      <c r="Y159" s="456" t="n"/>
      <c r="Z159" s="69" t="n"/>
      <c r="AA159" s="62" t="n">
        <v>600</v>
      </c>
      <c r="AB159" s="62" t="n">
        <v>600</v>
      </c>
      <c r="AC159" s="73" t="n"/>
      <c r="AD159" s="69" t="n"/>
      <c r="AE159" s="69" t="n"/>
      <c r="AF159" s="73" t="n"/>
      <c r="AG159" s="69" t="n"/>
      <c r="AH159" s="85" t="n"/>
    </row>
    <row r="160">
      <c r="A160" s="82" t="n">
        <v>169</v>
      </c>
      <c r="B160" s="75" t="n">
        <v>81799207</v>
      </c>
      <c r="C160" s="62" t="inlineStr">
        <is>
          <t>UTSMC003</t>
        </is>
      </c>
      <c r="D160" s="62" t="inlineStr">
        <is>
          <t>Utility</t>
        </is>
      </c>
      <c r="E160" s="62" t="n">
        <v>52</v>
      </c>
      <c r="F160" s="62" t="inlineStr">
        <is>
          <t>GATE VALVE</t>
        </is>
      </c>
      <c r="G160" s="62" t="inlineStr">
        <is>
          <t>PK VALVE</t>
        </is>
      </c>
      <c r="H160" s="69" t="n"/>
      <c r="I160" s="69" t="n"/>
      <c r="J160" s="129" t="inlineStr">
        <is>
          <t>M237-12GTV-5201</t>
        </is>
      </c>
      <c r="K160" s="69" t="n"/>
      <c r="L160" s="69" t="n"/>
      <c r="M160" s="62" t="inlineStr">
        <is>
          <t>Valve Packing Replacement</t>
        </is>
      </c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2" t="n">
        <v>12</v>
      </c>
      <c r="X160" s="62" t="n">
        <v>12</v>
      </c>
      <c r="Y160" s="456" t="n"/>
      <c r="Z160" s="69" t="n"/>
      <c r="AA160" s="62" t="n">
        <v>150</v>
      </c>
      <c r="AB160" s="62" t="n">
        <v>150</v>
      </c>
      <c r="AC160" s="73" t="n"/>
      <c r="AD160" s="69" t="n"/>
      <c r="AE160" s="69" t="n"/>
      <c r="AF160" s="73" t="n"/>
      <c r="AG160" s="69" t="n"/>
      <c r="AH160" s="85" t="n"/>
    </row>
    <row r="161">
      <c r="A161" s="82" t="n">
        <v>170</v>
      </c>
      <c r="B161" s="75" t="n">
        <v>81799208</v>
      </c>
      <c r="C161" s="62" t="inlineStr">
        <is>
          <t>UTSMC027</t>
        </is>
      </c>
      <c r="D161" s="62" t="inlineStr">
        <is>
          <t>Utility</t>
        </is>
      </c>
      <c r="E161" s="62" t="n">
        <v>53</v>
      </c>
      <c r="F161" s="62" t="inlineStr">
        <is>
          <t>GATE VALVE</t>
        </is>
      </c>
      <c r="G161" s="62" t="inlineStr">
        <is>
          <t>PK VALVE</t>
        </is>
      </c>
      <c r="H161" s="69" t="n"/>
      <c r="I161" s="69" t="n"/>
      <c r="J161" s="129" t="inlineStr">
        <is>
          <t>M237-12GTV-5301A</t>
        </is>
      </c>
      <c r="K161" s="69" t="n"/>
      <c r="L161" s="69" t="n"/>
      <c r="M161" s="62" t="inlineStr">
        <is>
          <t>Valve Packing Replacement</t>
        </is>
      </c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2" t="n">
        <v>12</v>
      </c>
      <c r="X161" s="62" t="n">
        <v>12</v>
      </c>
      <c r="Y161" s="456" t="n"/>
      <c r="Z161" s="69" t="n"/>
      <c r="AA161" s="62" t="n">
        <v>150</v>
      </c>
      <c r="AB161" s="62" t="n">
        <v>150</v>
      </c>
      <c r="AC161" s="73" t="n"/>
      <c r="AD161" s="69" t="n"/>
      <c r="AE161" s="69" t="n"/>
      <c r="AF161" s="73" t="n"/>
      <c r="AG161" s="69" t="n"/>
      <c r="AH161" s="85" t="n"/>
    </row>
    <row r="162">
      <c r="A162" s="82" t="n">
        <v>171</v>
      </c>
      <c r="B162" s="75" t="n">
        <v>81799209</v>
      </c>
      <c r="C162" s="62" t="inlineStr">
        <is>
          <t>UTSMC028</t>
        </is>
      </c>
      <c r="D162" s="62" t="inlineStr">
        <is>
          <t>Utility</t>
        </is>
      </c>
      <c r="E162" s="62" t="n">
        <v>53</v>
      </c>
      <c r="F162" s="62" t="inlineStr">
        <is>
          <t>GATE VALVE</t>
        </is>
      </c>
      <c r="G162" s="62" t="inlineStr">
        <is>
          <t>PK VALVE</t>
        </is>
      </c>
      <c r="H162" s="69" t="n"/>
      <c r="I162" s="69" t="n"/>
      <c r="J162" s="129" t="inlineStr">
        <is>
          <t>M237-12GTV-5301B</t>
        </is>
      </c>
      <c r="K162" s="69" t="n"/>
      <c r="L162" s="69" t="n"/>
      <c r="M162" s="62" t="inlineStr">
        <is>
          <t>Valve Packing Replacement</t>
        </is>
      </c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2" t="n">
        <v>12</v>
      </c>
      <c r="X162" s="62" t="n">
        <v>12</v>
      </c>
      <c r="Y162" s="456" t="n"/>
      <c r="Z162" s="69" t="n"/>
      <c r="AA162" s="62" t="n">
        <v>150</v>
      </c>
      <c r="AB162" s="62" t="n">
        <v>150</v>
      </c>
      <c r="AC162" s="73" t="n"/>
      <c r="AD162" s="69" t="n"/>
      <c r="AE162" s="69" t="n"/>
      <c r="AF162" s="73" t="n"/>
      <c r="AG162" s="69" t="n"/>
      <c r="AH162" s="85" t="n"/>
    </row>
    <row r="163">
      <c r="A163" s="82" t="n">
        <v>172</v>
      </c>
      <c r="B163" s="75" t="n">
        <v>81799210</v>
      </c>
      <c r="C163" s="62" t="inlineStr">
        <is>
          <t>UTSMC029</t>
        </is>
      </c>
      <c r="D163" s="62" t="inlineStr">
        <is>
          <t>Utility</t>
        </is>
      </c>
      <c r="E163" s="62" t="n">
        <v>53</v>
      </c>
      <c r="F163" s="62" t="inlineStr">
        <is>
          <t>GATE VALVE</t>
        </is>
      </c>
      <c r="G163" s="62" t="inlineStr">
        <is>
          <t>PK VALVE</t>
        </is>
      </c>
      <c r="H163" s="69" t="n"/>
      <c r="I163" s="69" t="n"/>
      <c r="J163" s="129" t="inlineStr">
        <is>
          <t>M237-12GTV-5301C</t>
        </is>
      </c>
      <c r="K163" s="69" t="n"/>
      <c r="L163" s="69" t="n"/>
      <c r="M163" s="62" t="inlineStr">
        <is>
          <t>Valve Packing Replacement</t>
        </is>
      </c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2" t="n">
        <v>12</v>
      </c>
      <c r="X163" s="62" t="n">
        <v>12</v>
      </c>
      <c r="Y163" s="456" t="n"/>
      <c r="Z163" s="69" t="n"/>
      <c r="AA163" s="62" t="n">
        <v>150</v>
      </c>
      <c r="AB163" s="62" t="n">
        <v>150</v>
      </c>
      <c r="AC163" s="73" t="n"/>
      <c r="AD163" s="69" t="n"/>
      <c r="AE163" s="69" t="n"/>
      <c r="AF163" s="73" t="n"/>
      <c r="AG163" s="69" t="n"/>
      <c r="AH163" s="85" t="n"/>
    </row>
    <row r="164">
      <c r="A164" s="82" t="n">
        <v>173</v>
      </c>
      <c r="B164" s="75" t="n">
        <v>81799211</v>
      </c>
      <c r="C164" s="62" t="inlineStr">
        <is>
          <t>UTSMC030</t>
        </is>
      </c>
      <c r="D164" s="62" t="inlineStr">
        <is>
          <t>Utility</t>
        </is>
      </c>
      <c r="E164" s="62" t="n">
        <v>53</v>
      </c>
      <c r="F164" s="62" t="inlineStr">
        <is>
          <t>GATE VALVE</t>
        </is>
      </c>
      <c r="G164" s="62" t="inlineStr">
        <is>
          <t>PK VALVE</t>
        </is>
      </c>
      <c r="H164" s="69" t="n"/>
      <c r="I164" s="69" t="n"/>
      <c r="J164" s="129" t="inlineStr">
        <is>
          <t>M237-12GTV-5302</t>
        </is>
      </c>
      <c r="K164" s="69" t="n"/>
      <c r="L164" s="69" t="n"/>
      <c r="M164" s="62" t="inlineStr">
        <is>
          <t>Valve Packing Replacement</t>
        </is>
      </c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2" t="n">
        <v>12</v>
      </c>
      <c r="X164" s="62" t="n">
        <v>12</v>
      </c>
      <c r="Y164" s="456" t="n"/>
      <c r="Z164" s="69" t="n"/>
      <c r="AA164" s="62" t="n">
        <v>600</v>
      </c>
      <c r="AB164" s="62" t="n">
        <v>600</v>
      </c>
      <c r="AC164" s="73" t="n"/>
      <c r="AD164" s="69" t="n"/>
      <c r="AE164" s="69" t="n"/>
      <c r="AF164" s="73" t="n"/>
      <c r="AG164" s="69" t="n"/>
      <c r="AH164" s="85" t="n"/>
    </row>
    <row r="165">
      <c r="A165" s="82" t="n">
        <v>174</v>
      </c>
      <c r="B165" s="75" t="n">
        <v>81799212</v>
      </c>
      <c r="C165" s="62" t="inlineStr">
        <is>
          <t>UTSMC093</t>
        </is>
      </c>
      <c r="D165" s="62" t="inlineStr">
        <is>
          <t>Utility</t>
        </is>
      </c>
      <c r="E165" s="62" t="n">
        <v>53</v>
      </c>
      <c r="F165" s="62" t="inlineStr">
        <is>
          <t>GATE VALVE</t>
        </is>
      </c>
      <c r="G165" s="62" t="inlineStr">
        <is>
          <t>PK VALVE</t>
        </is>
      </c>
      <c r="H165" s="69" t="n"/>
      <c r="I165" s="69" t="n"/>
      <c r="J165" s="129" t="inlineStr">
        <is>
          <t>M237-24GTV-5301</t>
        </is>
      </c>
      <c r="K165" s="69" t="n"/>
      <c r="L165" s="69" t="n"/>
      <c r="M165" s="62" t="inlineStr">
        <is>
          <t>Valve Packing Replacement</t>
        </is>
      </c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2" t="n">
        <v>24</v>
      </c>
      <c r="X165" s="62" t="n">
        <v>24</v>
      </c>
      <c r="Y165" s="456" t="n"/>
      <c r="Z165" s="69" t="n"/>
      <c r="AA165" s="62" t="n">
        <v>600</v>
      </c>
      <c r="AB165" s="62" t="n">
        <v>600</v>
      </c>
      <c r="AC165" s="73" t="n"/>
      <c r="AD165" s="69" t="n"/>
      <c r="AE165" s="69" t="n"/>
      <c r="AF165" s="73" t="n"/>
      <c r="AG165" s="69" t="n"/>
      <c r="AH165" s="85" t="n"/>
    </row>
    <row r="166">
      <c r="A166" s="83" t="n">
        <v>177</v>
      </c>
      <c r="B166" s="76" t="n">
        <v>81799215</v>
      </c>
      <c r="C166" s="63" t="inlineStr">
        <is>
          <t>UTSMC122</t>
        </is>
      </c>
      <c r="D166" s="63" t="inlineStr">
        <is>
          <t>Utility</t>
        </is>
      </c>
      <c r="E166" s="63" t="n">
        <v>53</v>
      </c>
      <c r="F166" s="63" t="inlineStr">
        <is>
          <t>GATE VALVE</t>
        </is>
      </c>
      <c r="G166" s="63" t="inlineStr">
        <is>
          <t>ORION</t>
        </is>
      </c>
      <c r="H166" s="69" t="n"/>
      <c r="I166" s="69" t="n"/>
      <c r="J166" s="130" t="inlineStr">
        <is>
          <t>M237-6GTV-53-NO040A</t>
        </is>
      </c>
      <c r="K166" s="69" t="n"/>
      <c r="L166" s="69" t="n"/>
      <c r="M166" s="63" t="inlineStr">
        <is>
          <t>Valve Packing Replacement</t>
        </is>
      </c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3" t="n">
        <v>6</v>
      </c>
      <c r="X166" s="63" t="n">
        <v>6</v>
      </c>
      <c r="Y166" s="456" t="n"/>
      <c r="Z166" s="69" t="n"/>
      <c r="AA166" s="63" t="n">
        <v>600</v>
      </c>
      <c r="AB166" s="63" t="n">
        <v>600</v>
      </c>
      <c r="AC166" s="73" t="n"/>
      <c r="AD166" s="69" t="n"/>
      <c r="AE166" s="69" t="n"/>
      <c r="AF166" s="73" t="n"/>
      <c r="AG166" s="69" t="n"/>
      <c r="AH166" s="85" t="n"/>
    </row>
    <row r="167">
      <c r="A167" s="83" t="n">
        <v>178</v>
      </c>
      <c r="B167" s="76" t="n">
        <v>81799216</v>
      </c>
      <c r="C167" s="63" t="inlineStr">
        <is>
          <t>UTSMC130</t>
        </is>
      </c>
      <c r="D167" s="63" t="inlineStr">
        <is>
          <t>Utility</t>
        </is>
      </c>
      <c r="E167" s="63" t="n">
        <v>53</v>
      </c>
      <c r="F167" s="63" t="inlineStr">
        <is>
          <t>GATE VALVE</t>
        </is>
      </c>
      <c r="G167" s="63" t="inlineStr">
        <is>
          <t>ORION</t>
        </is>
      </c>
      <c r="H167" s="69" t="n"/>
      <c r="I167" s="69" t="n"/>
      <c r="J167" s="130" t="inlineStr">
        <is>
          <t>M237-8GTV-53-NO041A</t>
        </is>
      </c>
      <c r="K167" s="69" t="n"/>
      <c r="L167" s="69" t="n"/>
      <c r="M167" s="63" t="inlineStr">
        <is>
          <t>Valve Packing Replacement</t>
        </is>
      </c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3" t="n">
        <v>8</v>
      </c>
      <c r="X167" s="63" t="n">
        <v>8</v>
      </c>
      <c r="Y167" s="456" t="n"/>
      <c r="Z167" s="69" t="n"/>
      <c r="AA167" s="63" t="n">
        <v>150</v>
      </c>
      <c r="AB167" s="63" t="n">
        <v>150</v>
      </c>
      <c r="AC167" s="73" t="n"/>
      <c r="AD167" s="69" t="n"/>
      <c r="AE167" s="69" t="n"/>
      <c r="AF167" s="73" t="n"/>
      <c r="AG167" s="69" t="n"/>
      <c r="AH167" s="85" t="n"/>
    </row>
    <row r="168">
      <c r="A168" s="82" t="n">
        <v>179</v>
      </c>
      <c r="B168" s="75" t="n">
        <v>81799217</v>
      </c>
      <c r="C168" s="62" t="inlineStr">
        <is>
          <t>UTSMC002</t>
        </is>
      </c>
      <c r="D168" s="62" t="inlineStr">
        <is>
          <t>Utility</t>
        </is>
      </c>
      <c r="E168" s="62" t="n">
        <v>53</v>
      </c>
      <c r="F168" s="62" t="inlineStr">
        <is>
          <t>GATE VALVE</t>
        </is>
      </c>
      <c r="G168" s="62" t="inlineStr">
        <is>
          <t>ORION</t>
        </is>
      </c>
      <c r="H168" s="69" t="n"/>
      <c r="I168" s="69" t="n"/>
      <c r="J168" s="129" t="inlineStr">
        <is>
          <t>M237-2GTV-53-NO022A</t>
        </is>
      </c>
      <c r="K168" s="69" t="n"/>
      <c r="L168" s="69" t="n"/>
      <c r="M168" s="62" t="inlineStr">
        <is>
          <t>Valve Packing Replacement</t>
        </is>
      </c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2" t="n">
        <v>2</v>
      </c>
      <c r="X168" s="62" t="n">
        <v>2</v>
      </c>
      <c r="Y168" s="456" t="n"/>
      <c r="Z168" s="69" t="n"/>
      <c r="AA168" s="62" t="n">
        <v>1500</v>
      </c>
      <c r="AB168" s="62" t="n">
        <v>1500</v>
      </c>
      <c r="AC168" s="73" t="n"/>
      <c r="AD168" s="69" t="n"/>
      <c r="AE168" s="69" t="n"/>
      <c r="AF168" s="73" t="n"/>
      <c r="AG168" s="69" t="n"/>
      <c r="AH168" s="85" t="n"/>
    </row>
    <row r="169">
      <c r="A169" s="82" t="n">
        <v>180</v>
      </c>
      <c r="B169" s="75" t="n">
        <v>81799218</v>
      </c>
      <c r="C169" s="62" t="inlineStr">
        <is>
          <t>UTSMC098</t>
        </is>
      </c>
      <c r="D169" s="62" t="inlineStr">
        <is>
          <t>Utility</t>
        </is>
      </c>
      <c r="E169" s="62" t="n">
        <v>53</v>
      </c>
      <c r="F169" s="62" t="inlineStr">
        <is>
          <t>GATE VALVE</t>
        </is>
      </c>
      <c r="G169" s="62" t="inlineStr">
        <is>
          <t>ORION</t>
        </is>
      </c>
      <c r="H169" s="69" t="n"/>
      <c r="I169" s="69" t="n"/>
      <c r="J169" s="129" t="inlineStr">
        <is>
          <t>M237-2GTV-53-NO023A</t>
        </is>
      </c>
      <c r="K169" s="69" t="n"/>
      <c r="L169" s="69" t="n"/>
      <c r="M169" s="62" t="inlineStr">
        <is>
          <t>Valve Packing Replacement</t>
        </is>
      </c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2" t="n">
        <v>2</v>
      </c>
      <c r="X169" s="62" t="n">
        <v>2</v>
      </c>
      <c r="Y169" s="456" t="n"/>
      <c r="Z169" s="69" t="n"/>
      <c r="AA169" s="62" t="n">
        <v>1500</v>
      </c>
      <c r="AB169" s="62" t="n">
        <v>1500</v>
      </c>
      <c r="AC169" s="73" t="n"/>
      <c r="AD169" s="69" t="n"/>
      <c r="AE169" s="69" t="n"/>
      <c r="AF169" s="73" t="n"/>
      <c r="AG169" s="69" t="n"/>
      <c r="AH169" s="85" t="n"/>
    </row>
    <row r="170">
      <c r="A170" s="82" t="n">
        <v>181</v>
      </c>
      <c r="B170" s="75" t="n">
        <v>81799219</v>
      </c>
      <c r="C170" s="62" t="inlineStr">
        <is>
          <t>UTSMC089</t>
        </is>
      </c>
      <c r="D170" s="62" t="inlineStr">
        <is>
          <t>Utility</t>
        </is>
      </c>
      <c r="E170" s="62" t="n">
        <v>53</v>
      </c>
      <c r="F170" s="62" t="inlineStr">
        <is>
          <t>GATE VALVE</t>
        </is>
      </c>
      <c r="G170" s="62" t="inlineStr">
        <is>
          <t>LVF</t>
        </is>
      </c>
      <c r="H170" s="69" t="n"/>
      <c r="I170" s="69" t="n"/>
      <c r="J170" s="129" t="inlineStr">
        <is>
          <t>M237-1GTV-53-NO206A</t>
        </is>
      </c>
      <c r="K170" s="69" t="n"/>
      <c r="L170" s="69" t="n"/>
      <c r="M170" s="62" t="inlineStr">
        <is>
          <t>Valve Packing Replacement</t>
        </is>
      </c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2" t="n">
        <v>1</v>
      </c>
      <c r="X170" s="62" t="n">
        <v>1</v>
      </c>
      <c r="Y170" s="456" t="n"/>
      <c r="Z170" s="69" t="n"/>
      <c r="AA170" s="62" t="n">
        <v>1500</v>
      </c>
      <c r="AB170" s="62" t="n">
        <v>1500</v>
      </c>
      <c r="AC170" s="73" t="n"/>
      <c r="AD170" s="69" t="n"/>
      <c r="AE170" s="69" t="n"/>
      <c r="AF170" s="73" t="n"/>
      <c r="AG170" s="69" t="n"/>
      <c r="AH170" s="85" t="n"/>
    </row>
    <row r="171">
      <c r="A171" s="82" t="n">
        <v>182</v>
      </c>
      <c r="B171" s="75" t="n">
        <v>81799220</v>
      </c>
      <c r="C171" s="62" t="inlineStr">
        <is>
          <t>UTSMC091</t>
        </is>
      </c>
      <c r="D171" s="62" t="inlineStr">
        <is>
          <t>Utility</t>
        </is>
      </c>
      <c r="E171" s="62" t="n">
        <v>53</v>
      </c>
      <c r="F171" s="62" t="inlineStr">
        <is>
          <t>GATE VALVE</t>
        </is>
      </c>
      <c r="G171" s="62" t="inlineStr">
        <is>
          <t>LVF</t>
        </is>
      </c>
      <c r="H171" s="69" t="n"/>
      <c r="I171" s="69" t="n"/>
      <c r="J171" s="129" t="inlineStr">
        <is>
          <t>M237-1GTV-53-NO207A</t>
        </is>
      </c>
      <c r="K171" s="69" t="n"/>
      <c r="L171" s="69" t="n"/>
      <c r="M171" s="62" t="inlineStr">
        <is>
          <t>Valve Packing Replacement</t>
        </is>
      </c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2" t="n">
        <v>1</v>
      </c>
      <c r="X171" s="62" t="n">
        <v>1</v>
      </c>
      <c r="Y171" s="456" t="n"/>
      <c r="Z171" s="69" t="n"/>
      <c r="AA171" s="62" t="n">
        <v>1500</v>
      </c>
      <c r="AB171" s="62" t="n">
        <v>1500</v>
      </c>
      <c r="AC171" s="73" t="n"/>
      <c r="AD171" s="69" t="n"/>
      <c r="AE171" s="69" t="n"/>
      <c r="AF171" s="73" t="n"/>
      <c r="AG171" s="69" t="n"/>
      <c r="AH171" s="85" t="n"/>
    </row>
    <row r="172">
      <c r="A172" s="82" t="n">
        <v>184</v>
      </c>
      <c r="B172" s="75" t="n">
        <v>81799222</v>
      </c>
      <c r="C172" s="62" t="inlineStr">
        <is>
          <t>UTSMC087</t>
        </is>
      </c>
      <c r="D172" s="62" t="inlineStr">
        <is>
          <t>Utility</t>
        </is>
      </c>
      <c r="E172" s="62" t="n">
        <v>53</v>
      </c>
      <c r="F172" s="62" t="inlineStr">
        <is>
          <t>GATE VALVE</t>
        </is>
      </c>
      <c r="G172" s="62" t="inlineStr">
        <is>
          <t>LVF</t>
        </is>
      </c>
      <c r="H172" s="69" t="n"/>
      <c r="I172" s="69" t="n"/>
      <c r="J172" s="129" t="inlineStr">
        <is>
          <t>M237-1GTV-53-NO205A</t>
        </is>
      </c>
      <c r="K172" s="69" t="n"/>
      <c r="L172" s="69" t="n"/>
      <c r="M172" s="62" t="inlineStr">
        <is>
          <t>Valve Packing Replacement</t>
        </is>
      </c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2" t="n">
        <v>1</v>
      </c>
      <c r="X172" s="62" t="n">
        <v>1</v>
      </c>
      <c r="Y172" s="456" t="n"/>
      <c r="Z172" s="69" t="n"/>
      <c r="AA172" s="62" t="n">
        <v>2500</v>
      </c>
      <c r="AB172" s="62" t="n">
        <v>2500</v>
      </c>
      <c r="AC172" s="73" t="n"/>
      <c r="AD172" s="69" t="n"/>
      <c r="AE172" s="69" t="n"/>
      <c r="AF172" s="73" t="n"/>
      <c r="AG172" s="69" t="n"/>
      <c r="AH172" s="85" t="n"/>
    </row>
    <row r="173">
      <c r="A173" s="82" t="n">
        <v>185</v>
      </c>
      <c r="B173" s="75" t="n">
        <v>81799223</v>
      </c>
      <c r="C173" s="62" t="inlineStr">
        <is>
          <t>UTSMC059</t>
        </is>
      </c>
      <c r="D173" s="62" t="inlineStr">
        <is>
          <t>Utility</t>
        </is>
      </c>
      <c r="E173" s="62" t="n">
        <v>53</v>
      </c>
      <c r="F173" s="62" t="inlineStr">
        <is>
          <t>GATE VALVE</t>
        </is>
      </c>
      <c r="G173" s="62" t="inlineStr">
        <is>
          <t>LVF</t>
        </is>
      </c>
      <c r="H173" s="69" t="n"/>
      <c r="I173" s="69" t="n"/>
      <c r="J173" s="129" t="inlineStr">
        <is>
          <t>M237-1GTV-53-NO176A</t>
        </is>
      </c>
      <c r="K173" s="69" t="n"/>
      <c r="L173" s="69" t="n"/>
      <c r="M173" s="62" t="inlineStr">
        <is>
          <t>Valve Packing Replacement</t>
        </is>
      </c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2" t="n">
        <v>1</v>
      </c>
      <c r="X173" s="62" t="n">
        <v>1</v>
      </c>
      <c r="Y173" s="456" t="n"/>
      <c r="Z173" s="69" t="n"/>
      <c r="AA173" s="62" t="n">
        <v>1500</v>
      </c>
      <c r="AB173" s="62" t="n">
        <v>1500</v>
      </c>
      <c r="AC173" s="73" t="n"/>
      <c r="AD173" s="69" t="n"/>
      <c r="AE173" s="69" t="n"/>
      <c r="AF173" s="73" t="n"/>
      <c r="AG173" s="69" t="n"/>
      <c r="AH173" s="85" t="n"/>
    </row>
    <row r="174">
      <c r="A174" s="82" t="n">
        <v>186</v>
      </c>
      <c r="B174" s="75" t="n">
        <v>81799224</v>
      </c>
      <c r="C174" s="62" t="inlineStr">
        <is>
          <t>UTSMC057</t>
        </is>
      </c>
      <c r="D174" s="62" t="inlineStr">
        <is>
          <t>Utility</t>
        </is>
      </c>
      <c r="E174" s="62" t="n">
        <v>53</v>
      </c>
      <c r="F174" s="62" t="inlineStr">
        <is>
          <t>GATE VALVE</t>
        </is>
      </c>
      <c r="G174" s="62" t="inlineStr">
        <is>
          <t>LVF</t>
        </is>
      </c>
      <c r="H174" s="69" t="n"/>
      <c r="I174" s="69" t="n"/>
      <c r="J174" s="129" t="inlineStr">
        <is>
          <t>M237-1GTV-53-NO164A</t>
        </is>
      </c>
      <c r="K174" s="69" t="n"/>
      <c r="L174" s="69" t="n"/>
      <c r="M174" s="62" t="inlineStr">
        <is>
          <t>Valve Packing Replacement</t>
        </is>
      </c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2" t="n">
        <v>1</v>
      </c>
      <c r="X174" s="62" t="n">
        <v>1</v>
      </c>
      <c r="Y174" s="456" t="n"/>
      <c r="Z174" s="69" t="n"/>
      <c r="AA174" s="62" t="n">
        <v>1500</v>
      </c>
      <c r="AB174" s="62" t="n">
        <v>1500</v>
      </c>
      <c r="AC174" s="73" t="n"/>
      <c r="AD174" s="69" t="n"/>
      <c r="AE174" s="69" t="n"/>
      <c r="AF174" s="73" t="n"/>
      <c r="AG174" s="69" t="n"/>
      <c r="AH174" s="85" t="n"/>
    </row>
    <row r="175">
      <c r="A175" s="82" t="n">
        <v>187</v>
      </c>
      <c r="B175" s="75" t="n">
        <v>81799225</v>
      </c>
      <c r="C175" s="62" t="inlineStr">
        <is>
          <t>UTSMC053</t>
        </is>
      </c>
      <c r="D175" s="62" t="inlineStr">
        <is>
          <t>Utility</t>
        </is>
      </c>
      <c r="E175" s="62" t="n">
        <v>53</v>
      </c>
      <c r="F175" s="62" t="inlineStr">
        <is>
          <t>GATE VALVE</t>
        </is>
      </c>
      <c r="G175" s="62" t="inlineStr">
        <is>
          <t>LVF</t>
        </is>
      </c>
      <c r="H175" s="69" t="n"/>
      <c r="I175" s="69" t="n"/>
      <c r="J175" s="129" t="inlineStr">
        <is>
          <t>M237-1GTV-53-NO160A</t>
        </is>
      </c>
      <c r="K175" s="69" t="n"/>
      <c r="L175" s="69" t="n"/>
      <c r="M175" s="62" t="inlineStr">
        <is>
          <t>Valve Packing Replacement</t>
        </is>
      </c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2" t="n">
        <v>1</v>
      </c>
      <c r="X175" s="62" t="n">
        <v>1</v>
      </c>
      <c r="Y175" s="456" t="n"/>
      <c r="Z175" s="69" t="n"/>
      <c r="AA175" s="62" t="n">
        <v>1500</v>
      </c>
      <c r="AB175" s="62" t="n">
        <v>1500</v>
      </c>
      <c r="AC175" s="73" t="n"/>
      <c r="AD175" s="69" t="n"/>
      <c r="AE175" s="69" t="n"/>
      <c r="AF175" s="73" t="n"/>
      <c r="AG175" s="69" t="n"/>
      <c r="AH175" s="85" t="n"/>
    </row>
    <row r="176">
      <c r="A176" s="82" t="n">
        <v>188</v>
      </c>
      <c r="B176" s="75" t="n">
        <v>81799226</v>
      </c>
      <c r="C176" s="62" t="inlineStr">
        <is>
          <t>UTSMC055</t>
        </is>
      </c>
      <c r="D176" s="62" t="inlineStr">
        <is>
          <t>Utility</t>
        </is>
      </c>
      <c r="E176" s="62" t="n">
        <v>53</v>
      </c>
      <c r="F176" s="62" t="inlineStr">
        <is>
          <t>GATE VALVE</t>
        </is>
      </c>
      <c r="G176" s="62" t="inlineStr">
        <is>
          <t>LVF</t>
        </is>
      </c>
      <c r="H176" s="69" t="n"/>
      <c r="I176" s="69" t="n"/>
      <c r="J176" s="129" t="inlineStr">
        <is>
          <t>M237-1GTV-53-NO162A</t>
        </is>
      </c>
      <c r="K176" s="69" t="n"/>
      <c r="L176" s="69" t="n"/>
      <c r="M176" s="62" t="inlineStr">
        <is>
          <t>Valve Packing Replacement</t>
        </is>
      </c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2" t="n">
        <v>1</v>
      </c>
      <c r="X176" s="62" t="n">
        <v>1</v>
      </c>
      <c r="Y176" s="456" t="n"/>
      <c r="Z176" s="69" t="n"/>
      <c r="AA176" s="62" t="n">
        <v>1500</v>
      </c>
      <c r="AB176" s="62" t="n">
        <v>1500</v>
      </c>
      <c r="AC176" s="73" t="n"/>
      <c r="AD176" s="69" t="n"/>
      <c r="AE176" s="69" t="n"/>
      <c r="AF176" s="73" t="n"/>
      <c r="AG176" s="69" t="n"/>
      <c r="AH176" s="85" t="n"/>
    </row>
    <row r="177">
      <c r="A177" s="82" t="n">
        <v>189</v>
      </c>
      <c r="B177" s="75" t="n">
        <v>81799227</v>
      </c>
      <c r="C177" s="62" t="inlineStr">
        <is>
          <t>UTSMC061</t>
        </is>
      </c>
      <c r="D177" s="62" t="inlineStr">
        <is>
          <t>Utility</t>
        </is>
      </c>
      <c r="E177" s="62" t="n">
        <v>53</v>
      </c>
      <c r="F177" s="62" t="inlineStr">
        <is>
          <t>GATE VALVE</t>
        </is>
      </c>
      <c r="G177" s="62" t="inlineStr">
        <is>
          <t>LVF</t>
        </is>
      </c>
      <c r="H177" s="69" t="n"/>
      <c r="I177" s="69" t="n"/>
      <c r="J177" s="129" t="inlineStr">
        <is>
          <t>M237-1GTV-53-NO192A</t>
        </is>
      </c>
      <c r="K177" s="69" t="n"/>
      <c r="L177" s="69" t="n"/>
      <c r="M177" s="62" t="inlineStr">
        <is>
          <t>Valve Packing Replacement</t>
        </is>
      </c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2" t="n">
        <v>1</v>
      </c>
      <c r="X177" s="62" t="n">
        <v>1</v>
      </c>
      <c r="Y177" s="456" t="n"/>
      <c r="Z177" s="69" t="n"/>
      <c r="AA177" s="62" t="n">
        <v>1500</v>
      </c>
      <c r="AB177" s="62" t="n">
        <v>1500</v>
      </c>
      <c r="AC177" s="73" t="n"/>
      <c r="AD177" s="69" t="n"/>
      <c r="AE177" s="69" t="n"/>
      <c r="AF177" s="73" t="n"/>
      <c r="AG177" s="69" t="n"/>
      <c r="AH177" s="85" t="n"/>
    </row>
    <row r="178">
      <c r="A178" s="82" t="n">
        <v>190</v>
      </c>
      <c r="B178" s="75" t="n">
        <v>81799228</v>
      </c>
      <c r="C178" s="62" t="inlineStr">
        <is>
          <t>UTSMC063</t>
        </is>
      </c>
      <c r="D178" s="62" t="inlineStr">
        <is>
          <t>Utility</t>
        </is>
      </c>
      <c r="E178" s="62" t="n">
        <v>53</v>
      </c>
      <c r="F178" s="62" t="inlineStr">
        <is>
          <t>GATE VALVE</t>
        </is>
      </c>
      <c r="G178" s="62" t="inlineStr">
        <is>
          <t>LVF</t>
        </is>
      </c>
      <c r="H178" s="69" t="n"/>
      <c r="I178" s="69" t="n"/>
      <c r="J178" s="129" t="inlineStr">
        <is>
          <t>M237-1GTV-53-NO193A</t>
        </is>
      </c>
      <c r="K178" s="69" t="n"/>
      <c r="L178" s="69" t="n"/>
      <c r="M178" s="62" t="inlineStr">
        <is>
          <t>Valve Packing Replacement</t>
        </is>
      </c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2" t="n">
        <v>1</v>
      </c>
      <c r="X178" s="62" t="n">
        <v>1</v>
      </c>
      <c r="Y178" s="456" t="n"/>
      <c r="Z178" s="69" t="n"/>
      <c r="AA178" s="62" t="n">
        <v>1500</v>
      </c>
      <c r="AB178" s="62" t="n">
        <v>1500</v>
      </c>
      <c r="AC178" s="73" t="n"/>
      <c r="AD178" s="69" t="n"/>
      <c r="AE178" s="69" t="n"/>
      <c r="AF178" s="73" t="n"/>
      <c r="AG178" s="69" t="n"/>
      <c r="AH178" s="85" t="n"/>
    </row>
    <row r="179">
      <c r="A179" s="82" t="n">
        <v>191</v>
      </c>
      <c r="B179" s="75" t="n">
        <v>81799229</v>
      </c>
      <c r="C179" s="62" t="inlineStr">
        <is>
          <t>UTSMC065</t>
        </is>
      </c>
      <c r="D179" s="62" t="inlineStr">
        <is>
          <t>Utility</t>
        </is>
      </c>
      <c r="E179" s="62" t="n">
        <v>53</v>
      </c>
      <c r="F179" s="62" t="inlineStr">
        <is>
          <t>GATE VALVE</t>
        </is>
      </c>
      <c r="G179" s="62" t="inlineStr">
        <is>
          <t>LVF</t>
        </is>
      </c>
      <c r="H179" s="69" t="n"/>
      <c r="I179" s="69" t="n"/>
      <c r="J179" s="129" t="inlineStr">
        <is>
          <t>M237-1GTV-53-NO194A</t>
        </is>
      </c>
      <c r="K179" s="69" t="n"/>
      <c r="L179" s="69" t="n"/>
      <c r="M179" s="62" t="inlineStr">
        <is>
          <t>Valve Packing Replacement</t>
        </is>
      </c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2" t="n">
        <v>1</v>
      </c>
      <c r="X179" s="62" t="n">
        <v>1</v>
      </c>
      <c r="Y179" s="456" t="n"/>
      <c r="Z179" s="69" t="n"/>
      <c r="AA179" s="62" t="n">
        <v>1500</v>
      </c>
      <c r="AB179" s="62" t="n">
        <v>1500</v>
      </c>
      <c r="AC179" s="73" t="n"/>
      <c r="AD179" s="69" t="n"/>
      <c r="AE179" s="69" t="n"/>
      <c r="AF179" s="73" t="n"/>
      <c r="AG179" s="69" t="n"/>
      <c r="AH179" s="85" t="n"/>
    </row>
    <row r="180">
      <c r="A180" s="82" t="n">
        <v>192</v>
      </c>
      <c r="B180" s="75" t="n">
        <v>81799230</v>
      </c>
      <c r="C180" s="62" t="inlineStr">
        <is>
          <t>UTSMC067</t>
        </is>
      </c>
      <c r="D180" s="62" t="inlineStr">
        <is>
          <t>Utility</t>
        </is>
      </c>
      <c r="E180" s="62" t="n">
        <v>53</v>
      </c>
      <c r="F180" s="62" t="inlineStr">
        <is>
          <t>GATE VALVE</t>
        </is>
      </c>
      <c r="G180" s="62" t="inlineStr">
        <is>
          <t>LVF</t>
        </is>
      </c>
      <c r="H180" s="69" t="n"/>
      <c r="I180" s="69" t="n"/>
      <c r="J180" s="129" t="inlineStr">
        <is>
          <t>M237-1GTV-53-NO195A</t>
        </is>
      </c>
      <c r="K180" s="69" t="n"/>
      <c r="L180" s="69" t="n"/>
      <c r="M180" s="62" t="inlineStr">
        <is>
          <t>Valve Packing Replacement</t>
        </is>
      </c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2" t="n">
        <v>1</v>
      </c>
      <c r="X180" s="62" t="n">
        <v>1</v>
      </c>
      <c r="Y180" s="456" t="n"/>
      <c r="Z180" s="69" t="n"/>
      <c r="AA180" s="62" t="n">
        <v>1500</v>
      </c>
      <c r="AB180" s="62" t="n">
        <v>1500</v>
      </c>
      <c r="AC180" s="73" t="n"/>
      <c r="AD180" s="69" t="n"/>
      <c r="AE180" s="69" t="n"/>
      <c r="AF180" s="73" t="n"/>
      <c r="AG180" s="69" t="n"/>
      <c r="AH180" s="85" t="n"/>
    </row>
    <row r="181">
      <c r="A181" s="82" t="n">
        <v>193</v>
      </c>
      <c r="B181" s="75" t="n">
        <v>81799231</v>
      </c>
      <c r="C181" s="62" t="inlineStr">
        <is>
          <t>UTSMC069</t>
        </is>
      </c>
      <c r="D181" s="62" t="inlineStr">
        <is>
          <t>Utility</t>
        </is>
      </c>
      <c r="E181" s="62" t="n">
        <v>53</v>
      </c>
      <c r="F181" s="62" t="inlineStr">
        <is>
          <t>GATE VALVE</t>
        </is>
      </c>
      <c r="G181" s="62" t="inlineStr">
        <is>
          <t>LVF</t>
        </is>
      </c>
      <c r="H181" s="69" t="n"/>
      <c r="I181" s="69" t="n"/>
      <c r="J181" s="129" t="inlineStr">
        <is>
          <t>M237-1GTV-53-NO196A</t>
        </is>
      </c>
      <c r="K181" s="69" t="n"/>
      <c r="L181" s="69" t="n"/>
      <c r="M181" s="62" t="inlineStr">
        <is>
          <t>Valve Packing Replacement</t>
        </is>
      </c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2" t="n">
        <v>1</v>
      </c>
      <c r="X181" s="62" t="n">
        <v>1</v>
      </c>
      <c r="Y181" s="456" t="n"/>
      <c r="Z181" s="69" t="n"/>
      <c r="AA181" s="62" t="n">
        <v>1500</v>
      </c>
      <c r="AB181" s="62" t="n">
        <v>1500</v>
      </c>
      <c r="AC181" s="73" t="n"/>
      <c r="AD181" s="69" t="n"/>
      <c r="AE181" s="69" t="n"/>
      <c r="AF181" s="73" t="n"/>
      <c r="AG181" s="69" t="n"/>
      <c r="AH181" s="85" t="n"/>
    </row>
    <row r="182">
      <c r="A182" s="82" t="n">
        <v>194</v>
      </c>
      <c r="B182" s="75" t="n">
        <v>81799232</v>
      </c>
      <c r="C182" s="62" t="inlineStr">
        <is>
          <t>UTSMC071</t>
        </is>
      </c>
      <c r="D182" s="62" t="inlineStr">
        <is>
          <t>Utility</t>
        </is>
      </c>
      <c r="E182" s="62" t="n">
        <v>53</v>
      </c>
      <c r="F182" s="62" t="inlineStr">
        <is>
          <t>GATE VALVE</t>
        </is>
      </c>
      <c r="G182" s="62" t="inlineStr">
        <is>
          <t>LVF</t>
        </is>
      </c>
      <c r="H182" s="69" t="n"/>
      <c r="I182" s="69" t="n"/>
      <c r="J182" s="129" t="inlineStr">
        <is>
          <t>M237-1GTV-53-NO197A</t>
        </is>
      </c>
      <c r="K182" s="69" t="n"/>
      <c r="L182" s="69" t="n"/>
      <c r="M182" s="62" t="inlineStr">
        <is>
          <t>Valve Packing Replacement</t>
        </is>
      </c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2" t="n">
        <v>1</v>
      </c>
      <c r="X182" s="62" t="n">
        <v>1</v>
      </c>
      <c r="Y182" s="456" t="n"/>
      <c r="Z182" s="69" t="n"/>
      <c r="AA182" s="62" t="n">
        <v>1500</v>
      </c>
      <c r="AB182" s="62" t="n">
        <v>1500</v>
      </c>
      <c r="AC182" s="73" t="n"/>
      <c r="AD182" s="69" t="n"/>
      <c r="AE182" s="69" t="n"/>
      <c r="AF182" s="73" t="n"/>
      <c r="AG182" s="69" t="n"/>
      <c r="AH182" s="85" t="n"/>
    </row>
    <row r="183">
      <c r="A183" s="82" t="n">
        <v>195</v>
      </c>
      <c r="B183" s="75" t="n">
        <v>81799233</v>
      </c>
      <c r="C183" s="62" t="inlineStr">
        <is>
          <t>UTSMC073</t>
        </is>
      </c>
      <c r="D183" s="62" t="inlineStr">
        <is>
          <t>Utility</t>
        </is>
      </c>
      <c r="E183" s="62" t="n">
        <v>53</v>
      </c>
      <c r="F183" s="62" t="inlineStr">
        <is>
          <t>GATE VALVE</t>
        </is>
      </c>
      <c r="G183" s="62" t="inlineStr">
        <is>
          <t>LVF</t>
        </is>
      </c>
      <c r="H183" s="69" t="n"/>
      <c r="I183" s="69" t="n"/>
      <c r="J183" s="129" t="inlineStr">
        <is>
          <t>M237-1GTV-53-NO198A</t>
        </is>
      </c>
      <c r="K183" s="69" t="n"/>
      <c r="L183" s="69" t="n"/>
      <c r="M183" s="62" t="inlineStr">
        <is>
          <t>Valve Packing Replacement</t>
        </is>
      </c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2" t="n">
        <v>1</v>
      </c>
      <c r="X183" s="62" t="n">
        <v>1</v>
      </c>
      <c r="Y183" s="456" t="n"/>
      <c r="Z183" s="69" t="n"/>
      <c r="AA183" s="62" t="n">
        <v>1500</v>
      </c>
      <c r="AB183" s="62" t="n">
        <v>1500</v>
      </c>
      <c r="AC183" s="73" t="n"/>
      <c r="AD183" s="69" t="n"/>
      <c r="AE183" s="69" t="n"/>
      <c r="AF183" s="73" t="n"/>
      <c r="AG183" s="69" t="n"/>
      <c r="AH183" s="85" t="n"/>
    </row>
    <row r="184">
      <c r="A184" s="82" t="n">
        <v>196</v>
      </c>
      <c r="B184" s="75" t="n">
        <v>81799234</v>
      </c>
      <c r="C184" s="62" t="inlineStr">
        <is>
          <t>UTSMC075</t>
        </is>
      </c>
      <c r="D184" s="62" t="inlineStr">
        <is>
          <t>Utility</t>
        </is>
      </c>
      <c r="E184" s="62" t="n">
        <v>53</v>
      </c>
      <c r="F184" s="62" t="inlineStr">
        <is>
          <t>GATE VALVE</t>
        </is>
      </c>
      <c r="G184" s="62" t="inlineStr">
        <is>
          <t>LVF</t>
        </is>
      </c>
      <c r="H184" s="69" t="n"/>
      <c r="I184" s="69" t="n"/>
      <c r="J184" s="129" t="inlineStr">
        <is>
          <t>M237-1GTV-53-NO199A</t>
        </is>
      </c>
      <c r="K184" s="69" t="n"/>
      <c r="L184" s="69" t="n"/>
      <c r="M184" s="62" t="inlineStr">
        <is>
          <t>Valve Packing Replacement</t>
        </is>
      </c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2" t="n">
        <v>1</v>
      </c>
      <c r="X184" s="62" t="n">
        <v>1</v>
      </c>
      <c r="Y184" s="456" t="n"/>
      <c r="Z184" s="69" t="n"/>
      <c r="AA184" s="62" t="n">
        <v>1500</v>
      </c>
      <c r="AB184" s="62" t="n">
        <v>1500</v>
      </c>
      <c r="AC184" s="73" t="n"/>
      <c r="AD184" s="69" t="n"/>
      <c r="AE184" s="69" t="n"/>
      <c r="AF184" s="73" t="n"/>
      <c r="AG184" s="69" t="n"/>
      <c r="AH184" s="85" t="n"/>
    </row>
    <row r="185">
      <c r="A185" s="82" t="n">
        <v>197</v>
      </c>
      <c r="B185" s="75" t="n">
        <v>81799235</v>
      </c>
      <c r="C185" s="62" t="inlineStr">
        <is>
          <t>UTSMC077</t>
        </is>
      </c>
      <c r="D185" s="62" t="inlineStr">
        <is>
          <t>Utility</t>
        </is>
      </c>
      <c r="E185" s="62" t="n">
        <v>53</v>
      </c>
      <c r="F185" s="62" t="inlineStr">
        <is>
          <t>GATE VALVE</t>
        </is>
      </c>
      <c r="G185" s="62" t="inlineStr">
        <is>
          <t>LVF</t>
        </is>
      </c>
      <c r="H185" s="69" t="n"/>
      <c r="I185" s="69" t="n"/>
      <c r="J185" s="129" t="inlineStr">
        <is>
          <t>M237-1GTV-53-NO200A</t>
        </is>
      </c>
      <c r="K185" s="69" t="n"/>
      <c r="L185" s="69" t="n"/>
      <c r="M185" s="62" t="inlineStr">
        <is>
          <t>Valve Packing Replacement</t>
        </is>
      </c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2" t="n">
        <v>1</v>
      </c>
      <c r="X185" s="62" t="n">
        <v>1</v>
      </c>
      <c r="Y185" s="456" t="n"/>
      <c r="Z185" s="69" t="n"/>
      <c r="AA185" s="62" t="n">
        <v>1500</v>
      </c>
      <c r="AB185" s="62" t="n">
        <v>1500</v>
      </c>
      <c r="AC185" s="73" t="n"/>
      <c r="AD185" s="69" t="n"/>
      <c r="AE185" s="69" t="n"/>
      <c r="AF185" s="73" t="n"/>
      <c r="AG185" s="69" t="n"/>
      <c r="AH185" s="85" t="n"/>
    </row>
    <row r="186">
      <c r="A186" s="82" t="n">
        <v>198</v>
      </c>
      <c r="B186" s="75" t="n">
        <v>81799236</v>
      </c>
      <c r="C186" s="62" t="inlineStr">
        <is>
          <t>UTSMC079</t>
        </is>
      </c>
      <c r="D186" s="62" t="inlineStr">
        <is>
          <t>Utility</t>
        </is>
      </c>
      <c r="E186" s="62" t="n">
        <v>53</v>
      </c>
      <c r="F186" s="62" t="inlineStr">
        <is>
          <t>GATE VALVE</t>
        </is>
      </c>
      <c r="G186" s="62" t="inlineStr">
        <is>
          <t>LVF</t>
        </is>
      </c>
      <c r="H186" s="69" t="n"/>
      <c r="I186" s="69" t="n"/>
      <c r="J186" s="129" t="inlineStr">
        <is>
          <t>M237-1GTV-53-NO201A</t>
        </is>
      </c>
      <c r="K186" s="69" t="n"/>
      <c r="L186" s="69" t="n"/>
      <c r="M186" s="62" t="inlineStr">
        <is>
          <t>Valve Packing Replacement</t>
        </is>
      </c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2" t="n">
        <v>1</v>
      </c>
      <c r="X186" s="62" t="n">
        <v>1</v>
      </c>
      <c r="Y186" s="456" t="n"/>
      <c r="Z186" s="69" t="n"/>
      <c r="AA186" s="62" t="n">
        <v>1500</v>
      </c>
      <c r="AB186" s="62" t="n">
        <v>1500</v>
      </c>
      <c r="AC186" s="73" t="n"/>
      <c r="AD186" s="69" t="n"/>
      <c r="AE186" s="69" t="n"/>
      <c r="AF186" s="73" t="n"/>
      <c r="AG186" s="69" t="n"/>
      <c r="AH186" s="85" t="n"/>
    </row>
    <row r="187">
      <c r="A187" s="82" t="n">
        <v>199</v>
      </c>
      <c r="B187" s="75" t="n">
        <v>81799237</v>
      </c>
      <c r="C187" s="62" t="inlineStr">
        <is>
          <t>UTSMC081</t>
        </is>
      </c>
      <c r="D187" s="62" t="inlineStr">
        <is>
          <t>Utility</t>
        </is>
      </c>
      <c r="E187" s="62" t="n">
        <v>53</v>
      </c>
      <c r="F187" s="62" t="inlineStr">
        <is>
          <t>GATE VALVE</t>
        </is>
      </c>
      <c r="G187" s="62" t="inlineStr">
        <is>
          <t>LVF</t>
        </is>
      </c>
      <c r="H187" s="69" t="n"/>
      <c r="I187" s="69" t="n"/>
      <c r="J187" s="129" t="inlineStr">
        <is>
          <t>M237-1GTV-53-NO202A</t>
        </is>
      </c>
      <c r="K187" s="69" t="n"/>
      <c r="L187" s="69" t="n"/>
      <c r="M187" s="62" t="inlineStr">
        <is>
          <t>Valve Packing Replacement</t>
        </is>
      </c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2" t="n">
        <v>1</v>
      </c>
      <c r="X187" s="62" t="n">
        <v>1</v>
      </c>
      <c r="Y187" s="456" t="n"/>
      <c r="Z187" s="69" t="n"/>
      <c r="AA187" s="62" t="n">
        <v>1500</v>
      </c>
      <c r="AB187" s="62" t="n">
        <v>1500</v>
      </c>
      <c r="AC187" s="73" t="n"/>
      <c r="AD187" s="69" t="n"/>
      <c r="AE187" s="69" t="n"/>
      <c r="AF187" s="73" t="n"/>
      <c r="AG187" s="69" t="n"/>
      <c r="AH187" s="85" t="n"/>
    </row>
    <row r="188">
      <c r="A188" s="82" t="n">
        <v>200</v>
      </c>
      <c r="B188" s="75" t="n">
        <v>81799238</v>
      </c>
      <c r="C188" s="62" t="inlineStr">
        <is>
          <t>UTSMC083</t>
        </is>
      </c>
      <c r="D188" s="62" t="inlineStr">
        <is>
          <t>Utility</t>
        </is>
      </c>
      <c r="E188" s="62" t="n">
        <v>53</v>
      </c>
      <c r="F188" s="62" t="inlineStr">
        <is>
          <t>GATE VALVE</t>
        </is>
      </c>
      <c r="G188" s="62" t="inlineStr">
        <is>
          <t>LVF</t>
        </is>
      </c>
      <c r="H188" s="69" t="n"/>
      <c r="I188" s="69" t="n"/>
      <c r="J188" s="129" t="inlineStr">
        <is>
          <t>M237-1GTV-53-NO203A</t>
        </is>
      </c>
      <c r="K188" s="69" t="n"/>
      <c r="L188" s="69" t="n"/>
      <c r="M188" s="62" t="inlineStr">
        <is>
          <t>Valve Packing Replacement</t>
        </is>
      </c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2" t="n">
        <v>1</v>
      </c>
      <c r="X188" s="62" t="n">
        <v>1</v>
      </c>
      <c r="Y188" s="456" t="n"/>
      <c r="Z188" s="69" t="n"/>
      <c r="AA188" s="62" t="n">
        <v>1500</v>
      </c>
      <c r="AB188" s="62" t="n">
        <v>1500</v>
      </c>
      <c r="AC188" s="73" t="n"/>
      <c r="AD188" s="69" t="n"/>
      <c r="AE188" s="69" t="n"/>
      <c r="AF188" s="73" t="n"/>
      <c r="AG188" s="69" t="n"/>
      <c r="AH188" s="85" t="n"/>
    </row>
    <row r="189">
      <c r="A189" s="82" t="n">
        <v>206</v>
      </c>
      <c r="B189" s="75" t="n">
        <v>81799244</v>
      </c>
      <c r="C189" s="62" t="inlineStr">
        <is>
          <t>UTSMC096</t>
        </is>
      </c>
      <c r="D189" s="62" t="inlineStr">
        <is>
          <t>Utility</t>
        </is>
      </c>
      <c r="E189" s="62" t="n">
        <v>53</v>
      </c>
      <c r="F189" s="62" t="inlineStr">
        <is>
          <t>GATE VALVE</t>
        </is>
      </c>
      <c r="G189" s="62" t="inlineStr">
        <is>
          <t>LVF</t>
        </is>
      </c>
      <c r="H189" s="69" t="n"/>
      <c r="I189" s="69" t="n"/>
      <c r="J189" s="129" t="inlineStr">
        <is>
          <t>M237-2GTV-53-NO016A</t>
        </is>
      </c>
      <c r="K189" s="69" t="n"/>
      <c r="L189" s="69" t="n"/>
      <c r="M189" s="62" t="inlineStr">
        <is>
          <t>Valve Packing Replacement</t>
        </is>
      </c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2" t="n">
        <v>2</v>
      </c>
      <c r="X189" s="62" t="n">
        <v>2</v>
      </c>
      <c r="Y189" s="456" t="n"/>
      <c r="Z189" s="69" t="n"/>
      <c r="AA189" s="62" t="n">
        <v>1500</v>
      </c>
      <c r="AB189" s="62" t="n">
        <v>1500</v>
      </c>
      <c r="AC189" s="73" t="n"/>
      <c r="AD189" s="69" t="n"/>
      <c r="AE189" s="69" t="n"/>
      <c r="AF189" s="73" t="n"/>
      <c r="AG189" s="69" t="n"/>
      <c r="AH189" s="85" t="n"/>
    </row>
    <row r="190">
      <c r="A190" s="82" t="n">
        <v>207</v>
      </c>
      <c r="B190" s="75" t="n">
        <v>81799245</v>
      </c>
      <c r="C190" s="62" t="inlineStr">
        <is>
          <t>UTSMC094</t>
        </is>
      </c>
      <c r="D190" s="62" t="inlineStr">
        <is>
          <t>Utility</t>
        </is>
      </c>
      <c r="E190" s="62" t="n">
        <v>53</v>
      </c>
      <c r="F190" s="62" t="inlineStr">
        <is>
          <t>GATE VALVE</t>
        </is>
      </c>
      <c r="G190" s="62" t="inlineStr">
        <is>
          <t>LVF</t>
        </is>
      </c>
      <c r="H190" s="69" t="n"/>
      <c r="I190" s="69" t="n"/>
      <c r="J190" s="129" t="inlineStr">
        <is>
          <t>M237-2GTV-53-NO011A</t>
        </is>
      </c>
      <c r="K190" s="69" t="n"/>
      <c r="L190" s="69" t="n"/>
      <c r="M190" s="62" t="inlineStr">
        <is>
          <t>Valve Packing Replacement</t>
        </is>
      </c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2" t="n">
        <v>2</v>
      </c>
      <c r="X190" s="62" t="n">
        <v>2</v>
      </c>
      <c r="Y190" s="456" t="n"/>
      <c r="Z190" s="69" t="n"/>
      <c r="AA190" s="62" t="n">
        <v>1500</v>
      </c>
      <c r="AB190" s="62" t="n">
        <v>1500</v>
      </c>
      <c r="AC190" s="73" t="n"/>
      <c r="AD190" s="69" t="n"/>
      <c r="AE190" s="69" t="n"/>
      <c r="AF190" s="73" t="n"/>
      <c r="AG190" s="69" t="n"/>
      <c r="AH190" s="85" t="n"/>
    </row>
    <row r="191">
      <c r="A191" s="82" t="n">
        <v>209</v>
      </c>
      <c r="B191" s="75" t="n">
        <v>81799382</v>
      </c>
      <c r="C191" s="62" t="inlineStr">
        <is>
          <t>UTSMC086</t>
        </is>
      </c>
      <c r="D191" s="62" t="inlineStr">
        <is>
          <t>Utility</t>
        </is>
      </c>
      <c r="E191" s="62" t="n">
        <v>53</v>
      </c>
      <c r="F191" s="62" t="inlineStr">
        <is>
          <t>GATE VALVE</t>
        </is>
      </c>
      <c r="G191" s="62" t="inlineStr">
        <is>
          <t>LVF</t>
        </is>
      </c>
      <c r="H191" s="69" t="n"/>
      <c r="I191" s="69" t="n"/>
      <c r="J191" s="129" t="inlineStr">
        <is>
          <t>M237-1GTV-53-NO204B</t>
        </is>
      </c>
      <c r="K191" s="69" t="n"/>
      <c r="L191" s="69" t="n"/>
      <c r="M191" s="62" t="inlineStr">
        <is>
          <t>Valve Packing Replacement</t>
        </is>
      </c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2" t="n">
        <v>1</v>
      </c>
      <c r="X191" s="62" t="n">
        <v>1</v>
      </c>
      <c r="Y191" s="456" t="n"/>
      <c r="Z191" s="69" t="n"/>
      <c r="AA191" s="62" t="n">
        <v>1500</v>
      </c>
      <c r="AB191" s="62" t="n">
        <v>1500</v>
      </c>
      <c r="AC191" s="73" t="n"/>
      <c r="AD191" s="69" t="n"/>
      <c r="AE191" s="69" t="n"/>
      <c r="AF191" s="73" t="n"/>
      <c r="AG191" s="69" t="n"/>
      <c r="AH191" s="85" t="n"/>
    </row>
    <row r="192">
      <c r="A192" s="82" t="n">
        <v>211</v>
      </c>
      <c r="B192" s="75" t="n">
        <v>81799384</v>
      </c>
      <c r="C192" s="62" t="inlineStr">
        <is>
          <t>UTSMC060</t>
        </is>
      </c>
      <c r="D192" s="62" t="inlineStr">
        <is>
          <t>Utility</t>
        </is>
      </c>
      <c r="E192" s="62" t="n">
        <v>53</v>
      </c>
      <c r="F192" s="62" t="inlineStr">
        <is>
          <t>GATE VALVE</t>
        </is>
      </c>
      <c r="G192" s="62" t="inlineStr">
        <is>
          <t>LVF</t>
        </is>
      </c>
      <c r="H192" s="69" t="n"/>
      <c r="I192" s="69" t="n"/>
      <c r="J192" s="129" t="inlineStr">
        <is>
          <t>M237-1GTV-53-NO176B</t>
        </is>
      </c>
      <c r="K192" s="69" t="n"/>
      <c r="L192" s="69" t="n"/>
      <c r="M192" s="62" t="inlineStr">
        <is>
          <t>Valve Packing Replacement</t>
        </is>
      </c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2" t="n">
        <v>1</v>
      </c>
      <c r="X192" s="62" t="n">
        <v>1</v>
      </c>
      <c r="Y192" s="456" t="n"/>
      <c r="Z192" s="69" t="n"/>
      <c r="AA192" s="62" t="n">
        <v>1500</v>
      </c>
      <c r="AB192" s="62" t="n">
        <v>1500</v>
      </c>
      <c r="AC192" s="73" t="n"/>
      <c r="AD192" s="69" t="n"/>
      <c r="AE192" s="69" t="n"/>
      <c r="AF192" s="73" t="n"/>
      <c r="AG192" s="69" t="n"/>
      <c r="AH192" s="85" t="n"/>
    </row>
    <row r="193">
      <c r="A193" s="82" t="n">
        <v>215</v>
      </c>
      <c r="B193" s="75" t="n">
        <v>81799388</v>
      </c>
      <c r="C193" s="62" t="inlineStr">
        <is>
          <t>UTSMC062</t>
        </is>
      </c>
      <c r="D193" s="62" t="inlineStr">
        <is>
          <t>Utility</t>
        </is>
      </c>
      <c r="E193" s="62" t="n">
        <v>53</v>
      </c>
      <c r="F193" s="62" t="inlineStr">
        <is>
          <t>GATE VALVE</t>
        </is>
      </c>
      <c r="G193" s="62" t="inlineStr">
        <is>
          <t>LVF</t>
        </is>
      </c>
      <c r="H193" s="69" t="n"/>
      <c r="I193" s="69" t="n"/>
      <c r="J193" s="129" t="inlineStr">
        <is>
          <t>M237-1GTV-53-NO192B</t>
        </is>
      </c>
      <c r="K193" s="69" t="n"/>
      <c r="L193" s="69" t="n"/>
      <c r="M193" s="62" t="inlineStr">
        <is>
          <t>Valve Packing Replacement</t>
        </is>
      </c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2" t="n">
        <v>1</v>
      </c>
      <c r="X193" s="62" t="n">
        <v>1</v>
      </c>
      <c r="Y193" s="456" t="n"/>
      <c r="Z193" s="69" t="n"/>
      <c r="AA193" s="62" t="n">
        <v>1500</v>
      </c>
      <c r="AB193" s="62" t="n">
        <v>1500</v>
      </c>
      <c r="AC193" s="73" t="n"/>
      <c r="AD193" s="69" t="n"/>
      <c r="AE193" s="69" t="n"/>
      <c r="AF193" s="73" t="n"/>
      <c r="AG193" s="69" t="n"/>
      <c r="AH193" s="85" t="n"/>
    </row>
    <row r="194">
      <c r="A194" s="82" t="n">
        <v>216</v>
      </c>
      <c r="B194" s="75" t="n">
        <v>81799389</v>
      </c>
      <c r="C194" s="62" t="inlineStr">
        <is>
          <t>UTSMC064</t>
        </is>
      </c>
      <c r="D194" s="62" t="inlineStr">
        <is>
          <t>Utility</t>
        </is>
      </c>
      <c r="E194" s="62" t="n">
        <v>53</v>
      </c>
      <c r="F194" s="62" t="inlineStr">
        <is>
          <t>GATE VALVE</t>
        </is>
      </c>
      <c r="G194" s="62" t="inlineStr">
        <is>
          <t>LVF</t>
        </is>
      </c>
      <c r="H194" s="69" t="n"/>
      <c r="I194" s="69" t="n"/>
      <c r="J194" s="129" t="inlineStr">
        <is>
          <t>M237-1GTV-53-NO193B</t>
        </is>
      </c>
      <c r="K194" s="69" t="n"/>
      <c r="L194" s="69" t="n"/>
      <c r="M194" s="62" t="inlineStr">
        <is>
          <t>Valve Packing Replacement</t>
        </is>
      </c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2" t="n">
        <v>1</v>
      </c>
      <c r="X194" s="62" t="n">
        <v>1</v>
      </c>
      <c r="Y194" s="456" t="n"/>
      <c r="Z194" s="69" t="n"/>
      <c r="AA194" s="62" t="n">
        <v>1500</v>
      </c>
      <c r="AB194" s="62" t="n">
        <v>1500</v>
      </c>
      <c r="AC194" s="73" t="n"/>
      <c r="AD194" s="69" t="n"/>
      <c r="AE194" s="69" t="n"/>
      <c r="AF194" s="73" t="n"/>
      <c r="AG194" s="69" t="n"/>
      <c r="AH194" s="85" t="n"/>
    </row>
    <row r="195">
      <c r="A195" s="82" t="n">
        <v>217</v>
      </c>
      <c r="B195" s="75" t="n">
        <v>81799390</v>
      </c>
      <c r="C195" s="62" t="inlineStr">
        <is>
          <t>UTSMC066</t>
        </is>
      </c>
      <c r="D195" s="62" t="inlineStr">
        <is>
          <t>Utility</t>
        </is>
      </c>
      <c r="E195" s="62" t="n">
        <v>53</v>
      </c>
      <c r="F195" s="62" t="inlineStr">
        <is>
          <t>GATE VALVE</t>
        </is>
      </c>
      <c r="G195" s="62" t="inlineStr">
        <is>
          <t>LVF</t>
        </is>
      </c>
      <c r="H195" s="69" t="n"/>
      <c r="I195" s="69" t="n"/>
      <c r="J195" s="129" t="inlineStr">
        <is>
          <t>M237-1GTV-53-NO194B</t>
        </is>
      </c>
      <c r="K195" s="69" t="n"/>
      <c r="L195" s="69" t="n"/>
      <c r="M195" s="62" t="inlineStr">
        <is>
          <t>Valve Packing Replacement</t>
        </is>
      </c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2" t="n">
        <v>1</v>
      </c>
      <c r="X195" s="62" t="n">
        <v>1</v>
      </c>
      <c r="Y195" s="456" t="n"/>
      <c r="Z195" s="69" t="n"/>
      <c r="AA195" s="62" t="n">
        <v>1500</v>
      </c>
      <c r="AB195" s="62" t="n">
        <v>1500</v>
      </c>
      <c r="AC195" s="73" t="n"/>
      <c r="AD195" s="69" t="n"/>
      <c r="AE195" s="69" t="n"/>
      <c r="AF195" s="73" t="n"/>
      <c r="AG195" s="69" t="n"/>
      <c r="AH195" s="85" t="n"/>
    </row>
    <row r="196">
      <c r="A196" s="82" t="n">
        <v>218</v>
      </c>
      <c r="B196" s="75" t="n">
        <v>81799391</v>
      </c>
      <c r="C196" s="62" t="inlineStr">
        <is>
          <t>UTSMC068</t>
        </is>
      </c>
      <c r="D196" s="62" t="inlineStr">
        <is>
          <t>Utility</t>
        </is>
      </c>
      <c r="E196" s="62" t="n">
        <v>53</v>
      </c>
      <c r="F196" s="62" t="inlineStr">
        <is>
          <t>GATE VALVE</t>
        </is>
      </c>
      <c r="G196" s="62" t="inlineStr">
        <is>
          <t>LVF</t>
        </is>
      </c>
      <c r="H196" s="69" t="n"/>
      <c r="I196" s="69" t="n"/>
      <c r="J196" s="129" t="inlineStr">
        <is>
          <t>M237-1GTV-53-NO195B</t>
        </is>
      </c>
      <c r="K196" s="69" t="n"/>
      <c r="L196" s="69" t="n"/>
      <c r="M196" s="62" t="inlineStr">
        <is>
          <t>Valve Packing Replacement</t>
        </is>
      </c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2" t="n">
        <v>1</v>
      </c>
      <c r="X196" s="62" t="n">
        <v>1</v>
      </c>
      <c r="Y196" s="456" t="n"/>
      <c r="Z196" s="69" t="n"/>
      <c r="AA196" s="62" t="n">
        <v>1500</v>
      </c>
      <c r="AB196" s="62" t="n">
        <v>1500</v>
      </c>
      <c r="AC196" s="73" t="n"/>
      <c r="AD196" s="69" t="n"/>
      <c r="AE196" s="69" t="n"/>
      <c r="AF196" s="73" t="n"/>
      <c r="AG196" s="69" t="n"/>
      <c r="AH196" s="85" t="n"/>
    </row>
    <row r="197">
      <c r="A197" s="82" t="n">
        <v>219</v>
      </c>
      <c r="B197" s="75" t="n">
        <v>81799392</v>
      </c>
      <c r="C197" s="62" t="inlineStr">
        <is>
          <t>UTSMC070</t>
        </is>
      </c>
      <c r="D197" s="62" t="inlineStr">
        <is>
          <t>Utility</t>
        </is>
      </c>
      <c r="E197" s="62" t="n">
        <v>53</v>
      </c>
      <c r="F197" s="62" t="inlineStr">
        <is>
          <t>GATE VALVE</t>
        </is>
      </c>
      <c r="G197" s="62" t="inlineStr">
        <is>
          <t>LVF</t>
        </is>
      </c>
      <c r="H197" s="69" t="n"/>
      <c r="I197" s="69" t="n"/>
      <c r="J197" s="129" t="inlineStr">
        <is>
          <t>M237-1GTV-53-NO196B</t>
        </is>
      </c>
      <c r="K197" s="69" t="n"/>
      <c r="L197" s="69" t="n"/>
      <c r="M197" s="62" t="inlineStr">
        <is>
          <t>Valve Packing Replacement</t>
        </is>
      </c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2" t="n">
        <v>1</v>
      </c>
      <c r="X197" s="62" t="n">
        <v>1</v>
      </c>
      <c r="Y197" s="456" t="n"/>
      <c r="Z197" s="69" t="n"/>
      <c r="AA197" s="62" t="n">
        <v>1500</v>
      </c>
      <c r="AB197" s="62" t="n">
        <v>1500</v>
      </c>
      <c r="AC197" s="73" t="n"/>
      <c r="AD197" s="69" t="n"/>
      <c r="AE197" s="69" t="n"/>
      <c r="AF197" s="73" t="n"/>
      <c r="AG197" s="69" t="n"/>
      <c r="AH197" s="85" t="n"/>
    </row>
    <row r="198">
      <c r="A198" s="82" t="n">
        <v>220</v>
      </c>
      <c r="B198" s="75" t="n">
        <v>81799393</v>
      </c>
      <c r="C198" s="62" t="inlineStr">
        <is>
          <t>UTSMC072</t>
        </is>
      </c>
      <c r="D198" s="62" t="inlineStr">
        <is>
          <t>Utility</t>
        </is>
      </c>
      <c r="E198" s="62" t="n">
        <v>53</v>
      </c>
      <c r="F198" s="62" t="inlineStr">
        <is>
          <t>GATE VALVE</t>
        </is>
      </c>
      <c r="G198" s="62" t="inlineStr">
        <is>
          <t>LVF</t>
        </is>
      </c>
      <c r="H198" s="69" t="n"/>
      <c r="I198" s="69" t="n"/>
      <c r="J198" s="129" t="inlineStr">
        <is>
          <t>M237-1GTV-53-NO197B</t>
        </is>
      </c>
      <c r="K198" s="69" t="n"/>
      <c r="L198" s="69" t="n"/>
      <c r="M198" s="62" t="inlineStr">
        <is>
          <t>Valve Packing Replacement</t>
        </is>
      </c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2" t="n">
        <v>1</v>
      </c>
      <c r="X198" s="62" t="n">
        <v>1</v>
      </c>
      <c r="Y198" s="456" t="n"/>
      <c r="Z198" s="69" t="n"/>
      <c r="AA198" s="62" t="n">
        <v>1500</v>
      </c>
      <c r="AB198" s="62" t="n">
        <v>1500</v>
      </c>
      <c r="AC198" s="73" t="n"/>
      <c r="AD198" s="69" t="n"/>
      <c r="AE198" s="69" t="n"/>
      <c r="AF198" s="73" t="n"/>
      <c r="AG198" s="69" t="n"/>
      <c r="AH198" s="85" t="n"/>
    </row>
    <row r="199">
      <c r="A199" s="82" t="n">
        <v>221</v>
      </c>
      <c r="B199" s="75" t="n">
        <v>81799394</v>
      </c>
      <c r="C199" s="62" t="inlineStr">
        <is>
          <t>UTSMC074</t>
        </is>
      </c>
      <c r="D199" s="62" t="inlineStr">
        <is>
          <t>Utility</t>
        </is>
      </c>
      <c r="E199" s="62" t="n">
        <v>53</v>
      </c>
      <c r="F199" s="62" t="inlineStr">
        <is>
          <t>GATE VALVE</t>
        </is>
      </c>
      <c r="G199" s="62" t="inlineStr">
        <is>
          <t>LVF</t>
        </is>
      </c>
      <c r="H199" s="69" t="n"/>
      <c r="I199" s="69" t="n"/>
      <c r="J199" s="129" t="inlineStr">
        <is>
          <t>M237-1GTV-53-NO198B</t>
        </is>
      </c>
      <c r="K199" s="69" t="n"/>
      <c r="L199" s="69" t="n"/>
      <c r="M199" s="62" t="inlineStr">
        <is>
          <t>Valve Packing Replacement</t>
        </is>
      </c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2" t="n">
        <v>1</v>
      </c>
      <c r="X199" s="62" t="n">
        <v>1</v>
      </c>
      <c r="Y199" s="456" t="n"/>
      <c r="Z199" s="69" t="n"/>
      <c r="AA199" s="62" t="n">
        <v>1500</v>
      </c>
      <c r="AB199" s="62" t="n">
        <v>1500</v>
      </c>
      <c r="AC199" s="73" t="n"/>
      <c r="AD199" s="69" t="n"/>
      <c r="AE199" s="69" t="n"/>
      <c r="AF199" s="73" t="n"/>
      <c r="AG199" s="69" t="n"/>
      <c r="AH199" s="85" t="n"/>
    </row>
    <row r="200">
      <c r="A200" s="82" t="n">
        <v>222</v>
      </c>
      <c r="B200" s="75" t="n">
        <v>81799395</v>
      </c>
      <c r="C200" s="62" t="inlineStr">
        <is>
          <t>UTSMC076</t>
        </is>
      </c>
      <c r="D200" s="62" t="inlineStr">
        <is>
          <t>Utility</t>
        </is>
      </c>
      <c r="E200" s="62" t="n">
        <v>53</v>
      </c>
      <c r="F200" s="62" t="inlineStr">
        <is>
          <t>GATE VALVE</t>
        </is>
      </c>
      <c r="G200" s="62" t="inlineStr">
        <is>
          <t>LVF</t>
        </is>
      </c>
      <c r="H200" s="69" t="n"/>
      <c r="I200" s="69" t="n"/>
      <c r="J200" s="129" t="inlineStr">
        <is>
          <t>M237-1GTV-53-NO199B</t>
        </is>
      </c>
      <c r="K200" s="69" t="n"/>
      <c r="L200" s="69" t="n"/>
      <c r="M200" s="62" t="inlineStr">
        <is>
          <t>Valve Packing Replacement</t>
        </is>
      </c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2" t="n">
        <v>1</v>
      </c>
      <c r="X200" s="62" t="n">
        <v>1</v>
      </c>
      <c r="Y200" s="456" t="n"/>
      <c r="Z200" s="69" t="n"/>
      <c r="AA200" s="62" t="n">
        <v>1500</v>
      </c>
      <c r="AB200" s="62" t="n">
        <v>1500</v>
      </c>
      <c r="AC200" s="73" t="n"/>
      <c r="AD200" s="69" t="n"/>
      <c r="AE200" s="69" t="n"/>
      <c r="AF200" s="73" t="n"/>
      <c r="AG200" s="69" t="n"/>
      <c r="AH200" s="85" t="n"/>
    </row>
    <row r="201">
      <c r="A201" s="82" t="n">
        <v>231</v>
      </c>
      <c r="B201" s="75" t="n">
        <v>81799424</v>
      </c>
      <c r="C201" s="62" t="inlineStr">
        <is>
          <t>UTSMC020</t>
        </is>
      </c>
      <c r="D201" s="62" t="inlineStr">
        <is>
          <t>Utility</t>
        </is>
      </c>
      <c r="E201" s="62" t="n">
        <v>53</v>
      </c>
      <c r="F201" s="62" t="inlineStr">
        <is>
          <t>GATE VALVE</t>
        </is>
      </c>
      <c r="G201" s="62" t="inlineStr">
        <is>
          <t>ORION</t>
        </is>
      </c>
      <c r="H201" s="69" t="n"/>
      <c r="I201" s="69" t="n"/>
      <c r="J201" s="129" t="inlineStr">
        <is>
          <t>M237-10GGTV-53-NO019B</t>
        </is>
      </c>
      <c r="K201" s="69" t="n"/>
      <c r="L201" s="69" t="n"/>
      <c r="M201" s="62" t="inlineStr">
        <is>
          <t>Valve Packing Replacement</t>
        </is>
      </c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2" t="n">
        <v>10</v>
      </c>
      <c r="X201" s="62" t="n">
        <v>10</v>
      </c>
      <c r="Y201" s="456" t="n"/>
      <c r="Z201" s="69" t="n"/>
      <c r="AA201" s="62" t="n">
        <v>2500</v>
      </c>
      <c r="AB201" s="62" t="n">
        <v>2500</v>
      </c>
      <c r="AC201" s="73" t="n"/>
      <c r="AD201" s="69" t="n"/>
      <c r="AE201" s="69" t="n"/>
      <c r="AF201" s="73" t="n"/>
      <c r="AG201" s="69" t="n"/>
      <c r="AH201" s="85" t="n"/>
    </row>
    <row r="202">
      <c r="A202" s="82" t="n">
        <v>236</v>
      </c>
      <c r="B202" s="75" t="n">
        <v>81799429</v>
      </c>
      <c r="C202" s="62" t="inlineStr">
        <is>
          <t>UTSMC113</t>
        </is>
      </c>
      <c r="D202" s="62" t="inlineStr">
        <is>
          <t>Utility</t>
        </is>
      </c>
      <c r="E202" s="62" t="n">
        <v>53</v>
      </c>
      <c r="F202" s="62" t="inlineStr">
        <is>
          <t>GATE VALVE</t>
        </is>
      </c>
      <c r="G202" s="62" t="inlineStr">
        <is>
          <t>LVF</t>
        </is>
      </c>
      <c r="H202" s="69" t="n"/>
      <c r="I202" s="69" t="n"/>
      <c r="J202" s="129" t="inlineStr">
        <is>
          <t>M237-6GGTV-53-NO001B</t>
        </is>
      </c>
      <c r="K202" s="69" t="n"/>
      <c r="L202" s="69" t="n"/>
      <c r="M202" s="62" t="inlineStr">
        <is>
          <t>Valve Packing Replacement</t>
        </is>
      </c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2" t="n">
        <v>6</v>
      </c>
      <c r="X202" s="62" t="n">
        <v>6</v>
      </c>
      <c r="Y202" s="456" t="n"/>
      <c r="Z202" s="69" t="n"/>
      <c r="AA202" s="62" t="n">
        <v>1500</v>
      </c>
      <c r="AB202" s="62" t="n">
        <v>1500</v>
      </c>
      <c r="AC202" s="73" t="n"/>
      <c r="AD202" s="69" t="n"/>
      <c r="AE202" s="69" t="n"/>
      <c r="AF202" s="73" t="n"/>
      <c r="AG202" s="69" t="n"/>
      <c r="AH202" s="85" t="n"/>
    </row>
    <row r="203">
      <c r="A203" s="82" t="n">
        <v>237</v>
      </c>
      <c r="B203" s="75" t="n">
        <v>81799430</v>
      </c>
      <c r="C203" s="62" t="inlineStr">
        <is>
          <t>UTSMC034</t>
        </is>
      </c>
      <c r="D203" s="62" t="inlineStr">
        <is>
          <t>Utility</t>
        </is>
      </c>
      <c r="E203" s="62" t="n">
        <v>54</v>
      </c>
      <c r="F203" s="62" t="inlineStr">
        <is>
          <t>GATE VALVE</t>
        </is>
      </c>
      <c r="G203" s="62" t="inlineStr">
        <is>
          <t>PK VALVE</t>
        </is>
      </c>
      <c r="H203" s="69" t="n"/>
      <c r="I203" s="69" t="n"/>
      <c r="J203" s="129" t="inlineStr">
        <is>
          <t>M237-18GTV-5401B</t>
        </is>
      </c>
      <c r="K203" s="69" t="n"/>
      <c r="L203" s="69" t="n"/>
      <c r="M203" s="62" t="inlineStr">
        <is>
          <t>Valve Packing Replacement</t>
        </is>
      </c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2" t="n">
        <v>18</v>
      </c>
      <c r="X203" s="62" t="n">
        <v>18</v>
      </c>
      <c r="Y203" s="456" t="n"/>
      <c r="Z203" s="69" t="n"/>
      <c r="AA203" s="62" t="n">
        <v>150</v>
      </c>
      <c r="AB203" s="62" t="n">
        <v>150</v>
      </c>
      <c r="AC203" s="73" t="n"/>
      <c r="AD203" s="69" t="n"/>
      <c r="AE203" s="69" t="n"/>
      <c r="AF203" s="73" t="n"/>
      <c r="AG203" s="69" t="n"/>
      <c r="AH203" s="85" t="n"/>
    </row>
    <row r="204">
      <c r="A204" s="82" t="n">
        <v>238</v>
      </c>
      <c r="B204" s="75" t="n">
        <v>81799431</v>
      </c>
      <c r="C204" s="62" t="inlineStr">
        <is>
          <t>UTSMC124</t>
        </is>
      </c>
      <c r="D204" s="62" t="inlineStr">
        <is>
          <t>Utility</t>
        </is>
      </c>
      <c r="E204" s="62" t="n">
        <v>54</v>
      </c>
      <c r="F204" s="62" t="inlineStr">
        <is>
          <t>GATE VALVE</t>
        </is>
      </c>
      <c r="G204" s="62" t="inlineStr">
        <is>
          <t>PK VALVE</t>
        </is>
      </c>
      <c r="H204" s="69" t="n"/>
      <c r="I204" s="69" t="n"/>
      <c r="J204" s="129" t="inlineStr">
        <is>
          <t>M237-6GTV-5401</t>
        </is>
      </c>
      <c r="K204" s="69" t="n"/>
      <c r="L204" s="69" t="n"/>
      <c r="M204" s="62" t="inlineStr">
        <is>
          <t>Valve Packing Replacement</t>
        </is>
      </c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2" t="n">
        <v>6</v>
      </c>
      <c r="X204" s="62" t="n">
        <v>6</v>
      </c>
      <c r="Y204" s="456" t="n"/>
      <c r="Z204" s="69" t="n"/>
      <c r="AA204" s="62" t="n">
        <v>150</v>
      </c>
      <c r="AB204" s="62" t="n">
        <v>150</v>
      </c>
      <c r="AC204" s="73" t="n"/>
      <c r="AD204" s="69" t="n"/>
      <c r="AE204" s="69" t="n"/>
      <c r="AF204" s="73" t="n"/>
      <c r="AG204" s="69" t="n"/>
      <c r="AH204" s="85" t="n"/>
    </row>
    <row r="205">
      <c r="A205" s="82" t="n">
        <v>239</v>
      </c>
      <c r="B205" s="75" t="n">
        <v>81799433</v>
      </c>
      <c r="C205" s="62" t="inlineStr">
        <is>
          <t>UTSMC031</t>
        </is>
      </c>
      <c r="D205" s="62" t="inlineStr">
        <is>
          <t>Utility</t>
        </is>
      </c>
      <c r="E205" s="62" t="n">
        <v>54</v>
      </c>
      <c r="F205" s="62" t="inlineStr">
        <is>
          <t>GATE VALVE</t>
        </is>
      </c>
      <c r="G205" s="62" t="inlineStr">
        <is>
          <t>PK VALVE</t>
        </is>
      </c>
      <c r="H205" s="69" t="n"/>
      <c r="I205" s="69" t="n"/>
      <c r="J205" s="129" t="inlineStr">
        <is>
          <t>M237-14GTV-5401</t>
        </is>
      </c>
      <c r="K205" s="69" t="n"/>
      <c r="L205" s="69" t="n"/>
      <c r="M205" s="62" t="inlineStr">
        <is>
          <t>Valve Packing Replacement</t>
        </is>
      </c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2" t="n">
        <v>14</v>
      </c>
      <c r="X205" s="62" t="n">
        <v>14</v>
      </c>
      <c r="Y205" s="456" t="n"/>
      <c r="Z205" s="69" t="n"/>
      <c r="AA205" s="62" t="n">
        <v>150</v>
      </c>
      <c r="AB205" s="62" t="n">
        <v>150</v>
      </c>
      <c r="AC205" s="73" t="n"/>
      <c r="AD205" s="69" t="n"/>
      <c r="AE205" s="69" t="n"/>
      <c r="AF205" s="73" t="n"/>
      <c r="AG205" s="69" t="n"/>
      <c r="AH205" s="85" t="n"/>
    </row>
    <row r="206">
      <c r="A206" s="82" t="n">
        <v>240</v>
      </c>
      <c r="B206" s="75" t="n">
        <v>81799438</v>
      </c>
      <c r="C206" s="62" t="inlineStr">
        <is>
          <t>UTSMC001</t>
        </is>
      </c>
      <c r="D206" s="62" t="inlineStr">
        <is>
          <t>Utility</t>
        </is>
      </c>
      <c r="E206" s="62" t="n">
        <v>61</v>
      </c>
      <c r="F206" s="62" t="inlineStr">
        <is>
          <t>GATE VALVE</t>
        </is>
      </c>
      <c r="G206" s="62" t="inlineStr">
        <is>
          <t>PK VALVE</t>
        </is>
      </c>
      <c r="H206" s="69" t="n"/>
      <c r="I206" s="69" t="n"/>
      <c r="J206" s="129" t="inlineStr">
        <is>
          <t>M237-10GTV-6103</t>
        </is>
      </c>
      <c r="K206" s="69" t="n"/>
      <c r="L206" s="69" t="n"/>
      <c r="M206" s="62" t="inlineStr">
        <is>
          <t>Valve Packing Replacement</t>
        </is>
      </c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2" t="n">
        <v>10</v>
      </c>
      <c r="X206" s="62" t="n">
        <v>10</v>
      </c>
      <c r="Y206" s="456" t="n"/>
      <c r="Z206" s="69" t="n"/>
      <c r="AA206" s="62" t="n">
        <v>150</v>
      </c>
      <c r="AB206" s="62" t="n">
        <v>150</v>
      </c>
      <c r="AC206" s="73" t="n"/>
      <c r="AD206" s="69" t="n"/>
      <c r="AE206" s="69" t="n"/>
      <c r="AF206" s="73" t="n"/>
      <c r="AG206" s="69" t="n"/>
      <c r="AH206" s="85" t="n"/>
    </row>
    <row r="207">
      <c r="A207" s="82" t="n">
        <v>241</v>
      </c>
      <c r="B207" s="75" t="n">
        <v>81857442</v>
      </c>
      <c r="C207" s="62" t="inlineStr">
        <is>
          <t>UTSMC007</t>
        </is>
      </c>
      <c r="D207" s="62" t="inlineStr">
        <is>
          <t>Utility</t>
        </is>
      </c>
      <c r="E207" s="62" t="n">
        <v>53</v>
      </c>
      <c r="F207" s="62" t="inlineStr">
        <is>
          <t>GLOBE VALVE</t>
        </is>
      </c>
      <c r="G207" s="62" t="inlineStr">
        <is>
          <t>BONETTI</t>
        </is>
      </c>
      <c r="H207" s="69" t="n"/>
      <c r="I207" s="69" t="n"/>
      <c r="J207" s="129" t="inlineStr">
        <is>
          <t>M237-1.1/2"GBV-53-NO062A</t>
        </is>
      </c>
      <c r="K207" s="69" t="n"/>
      <c r="L207" s="69" t="n"/>
      <c r="M207" s="62" t="inlineStr">
        <is>
          <t>Valve Packing Replacement</t>
        </is>
      </c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2" t="inlineStr">
        <is>
          <t>1.1/2</t>
        </is>
      </c>
      <c r="X207" s="62" t="inlineStr">
        <is>
          <t>1.1/2</t>
        </is>
      </c>
      <c r="Y207" s="456" t="n"/>
      <c r="Z207" s="69" t="n"/>
      <c r="AA207" s="62" t="n">
        <v>1500</v>
      </c>
      <c r="AB207" s="62" t="n">
        <v>1500</v>
      </c>
      <c r="AC207" s="73" t="n"/>
      <c r="AD207" s="69" t="n"/>
      <c r="AE207" s="69" t="n"/>
      <c r="AF207" s="73" t="n"/>
      <c r="AG207" s="69" t="n"/>
      <c r="AH207" s="85" t="n"/>
    </row>
    <row r="208">
      <c r="A208" s="82" t="n">
        <v>242</v>
      </c>
      <c r="B208" s="75" t="n">
        <v>81857443</v>
      </c>
      <c r="C208" s="62" t="inlineStr">
        <is>
          <t>UTSMC008</t>
        </is>
      </c>
      <c r="D208" s="62" t="inlineStr">
        <is>
          <t>Utility</t>
        </is>
      </c>
      <c r="E208" s="62" t="n">
        <v>53</v>
      </c>
      <c r="F208" s="62" t="inlineStr">
        <is>
          <t>GLOBE VALVE</t>
        </is>
      </c>
      <c r="G208" s="62" t="inlineStr">
        <is>
          <t>BONETTI</t>
        </is>
      </c>
      <c r="H208" s="69" t="n"/>
      <c r="I208" s="69" t="n"/>
      <c r="J208" s="129" t="inlineStr">
        <is>
          <t>M237-1.1/2"GBV-53-NO062B</t>
        </is>
      </c>
      <c r="K208" s="69" t="n"/>
      <c r="L208" s="69" t="n"/>
      <c r="M208" s="62" t="inlineStr">
        <is>
          <t>Valve Packing Replacement</t>
        </is>
      </c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2" t="inlineStr">
        <is>
          <t>1.1/2</t>
        </is>
      </c>
      <c r="X208" s="62" t="inlineStr">
        <is>
          <t>1.1/2</t>
        </is>
      </c>
      <c r="Y208" s="456" t="n"/>
      <c r="Z208" s="69" t="n"/>
      <c r="AA208" s="62" t="n">
        <v>1500</v>
      </c>
      <c r="AB208" s="62" t="n">
        <v>1500</v>
      </c>
      <c r="AC208" s="73" t="n"/>
      <c r="AD208" s="69" t="n"/>
      <c r="AE208" s="69" t="n"/>
      <c r="AF208" s="73" t="n"/>
      <c r="AG208" s="69" t="n"/>
      <c r="AH208" s="85" t="n"/>
    </row>
    <row r="209">
      <c r="A209" s="82" t="n">
        <v>243</v>
      </c>
      <c r="B209" s="75" t="n">
        <v>81857444</v>
      </c>
      <c r="C209" s="62" t="inlineStr">
        <is>
          <t>UTSMC106</t>
        </is>
      </c>
      <c r="D209" s="62" t="inlineStr">
        <is>
          <t>Utility</t>
        </is>
      </c>
      <c r="E209" s="62" t="n">
        <v>48</v>
      </c>
      <c r="F209" s="62" t="inlineStr">
        <is>
          <t>GATE VALVE</t>
        </is>
      </c>
      <c r="G209" s="62" t="inlineStr">
        <is>
          <t>KSB</t>
        </is>
      </c>
      <c r="H209" s="69" t="n"/>
      <c r="I209" s="69" t="n"/>
      <c r="J209" s="129" t="inlineStr">
        <is>
          <t>M237-4GTV-4804A</t>
        </is>
      </c>
      <c r="K209" s="69" t="n"/>
      <c r="L209" s="69" t="n"/>
      <c r="M209" s="62" t="inlineStr">
        <is>
          <t>Valve Packing Replacement</t>
        </is>
      </c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2" t="n">
        <v>4</v>
      </c>
      <c r="X209" s="62" t="n">
        <v>4</v>
      </c>
      <c r="Y209" s="456" t="n"/>
      <c r="Z209" s="69" t="n"/>
      <c r="AA209" s="62" t="n">
        <v>600</v>
      </c>
      <c r="AB209" s="62" t="n">
        <v>600</v>
      </c>
      <c r="AC209" s="73" t="n"/>
      <c r="AD209" s="69" t="n"/>
      <c r="AE209" s="69" t="n"/>
      <c r="AF209" s="73" t="n"/>
      <c r="AG209" s="69" t="n"/>
      <c r="AH209" s="85" t="n"/>
    </row>
    <row r="210">
      <c r="A210" s="82" t="n">
        <v>244</v>
      </c>
      <c r="B210" s="75" t="n">
        <v>81857445</v>
      </c>
      <c r="C210" s="62" t="inlineStr">
        <is>
          <t>UTSMC125</t>
        </is>
      </c>
      <c r="D210" s="62" t="inlineStr">
        <is>
          <t>Utility</t>
        </is>
      </c>
      <c r="E210" s="62" t="n">
        <v>48</v>
      </c>
      <c r="F210" s="62" t="inlineStr">
        <is>
          <t>GATE VALVE</t>
        </is>
      </c>
      <c r="G210" s="62" t="inlineStr">
        <is>
          <t>KSB</t>
        </is>
      </c>
      <c r="H210" s="69" t="n"/>
      <c r="I210" s="69" t="n"/>
      <c r="J210" s="129" t="inlineStr">
        <is>
          <t>M237-8GTV-4803A</t>
        </is>
      </c>
      <c r="K210" s="69" t="n"/>
      <c r="L210" s="69" t="n"/>
      <c r="M210" s="62" t="inlineStr">
        <is>
          <t>Valve Packing Replacement</t>
        </is>
      </c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2" t="n">
        <v>8</v>
      </c>
      <c r="X210" s="62" t="n">
        <v>8</v>
      </c>
      <c r="Y210" s="456" t="n"/>
      <c r="Z210" s="69" t="n"/>
      <c r="AA210" s="62" t="n">
        <v>600</v>
      </c>
      <c r="AB210" s="62" t="n">
        <v>600</v>
      </c>
      <c r="AC210" s="73" t="n"/>
      <c r="AD210" s="69" t="n"/>
      <c r="AE210" s="69" t="n"/>
      <c r="AF210" s="73" t="n"/>
      <c r="AG210" s="69" t="n"/>
      <c r="AH210" s="85" t="n"/>
    </row>
    <row r="211">
      <c r="A211" s="82" t="n">
        <v>245</v>
      </c>
      <c r="B211" s="75" t="n">
        <v>81857446</v>
      </c>
      <c r="C211" s="62" t="inlineStr">
        <is>
          <t>UTSMC107</t>
        </is>
      </c>
      <c r="D211" s="62" t="inlineStr">
        <is>
          <t>Utility</t>
        </is>
      </c>
      <c r="E211" s="62" t="n">
        <v>48</v>
      </c>
      <c r="F211" s="62" t="inlineStr">
        <is>
          <t>GATE VALVE</t>
        </is>
      </c>
      <c r="G211" s="62" t="inlineStr">
        <is>
          <t>KSB</t>
        </is>
      </c>
      <c r="H211" s="69" t="n"/>
      <c r="I211" s="69" t="n"/>
      <c r="J211" s="129" t="inlineStr">
        <is>
          <t>M237-4GTV-4804B</t>
        </is>
      </c>
      <c r="K211" s="69" t="n"/>
      <c r="L211" s="69" t="n"/>
      <c r="M211" s="62" t="inlineStr">
        <is>
          <t>Valve Packing Replacement</t>
        </is>
      </c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2" t="n">
        <v>4</v>
      </c>
      <c r="X211" s="62" t="n">
        <v>4</v>
      </c>
      <c r="Y211" s="456" t="n"/>
      <c r="Z211" s="69" t="n"/>
      <c r="AA211" s="62" t="n">
        <v>600</v>
      </c>
      <c r="AB211" s="62" t="n">
        <v>600</v>
      </c>
      <c r="AC211" s="73" t="n"/>
      <c r="AD211" s="69" t="n"/>
      <c r="AE211" s="69" t="n"/>
      <c r="AF211" s="73" t="n"/>
      <c r="AG211" s="69" t="n"/>
      <c r="AH211" s="85" t="n"/>
    </row>
    <row r="212">
      <c r="A212" s="82" t="n">
        <v>246</v>
      </c>
      <c r="B212" s="75" t="n">
        <v>81857447</v>
      </c>
      <c r="C212" s="62" t="inlineStr">
        <is>
          <t>UTSMC126</t>
        </is>
      </c>
      <c r="D212" s="62" t="inlineStr">
        <is>
          <t>Utility</t>
        </is>
      </c>
      <c r="E212" s="62" t="n">
        <v>48</v>
      </c>
      <c r="F212" s="62" t="inlineStr">
        <is>
          <t>GATE VALVE</t>
        </is>
      </c>
      <c r="G212" s="62" t="inlineStr">
        <is>
          <t>KSB</t>
        </is>
      </c>
      <c r="H212" s="69" t="n"/>
      <c r="I212" s="69" t="n"/>
      <c r="J212" s="129" t="inlineStr">
        <is>
          <t>M237-8GTV-4803B</t>
        </is>
      </c>
      <c r="K212" s="69" t="n"/>
      <c r="L212" s="69" t="n"/>
      <c r="M212" s="62" t="inlineStr">
        <is>
          <t>Valve Packing Replacement</t>
        </is>
      </c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2" t="n">
        <v>8</v>
      </c>
      <c r="X212" s="62" t="n">
        <v>8</v>
      </c>
      <c r="Y212" s="456" t="n"/>
      <c r="Z212" s="69" t="n"/>
      <c r="AA212" s="62" t="n">
        <v>600</v>
      </c>
      <c r="AB212" s="62" t="n">
        <v>600</v>
      </c>
      <c r="AC212" s="73" t="n"/>
      <c r="AD212" s="69" t="n"/>
      <c r="AE212" s="69" t="n"/>
      <c r="AF212" s="73" t="n"/>
      <c r="AG212" s="69" t="n"/>
      <c r="AH212" s="85" t="n"/>
    </row>
    <row r="213">
      <c r="A213" s="82" t="n">
        <v>247</v>
      </c>
      <c r="B213" s="75" t="n">
        <v>81857448</v>
      </c>
      <c r="C213" s="62" t="inlineStr">
        <is>
          <t>UTSMC108</t>
        </is>
      </c>
      <c r="D213" s="62" t="inlineStr">
        <is>
          <t>Utility</t>
        </is>
      </c>
      <c r="E213" s="62" t="n">
        <v>48</v>
      </c>
      <c r="F213" s="62" t="inlineStr">
        <is>
          <t>GATE VALVE</t>
        </is>
      </c>
      <c r="G213" s="62" t="inlineStr">
        <is>
          <t>KSB</t>
        </is>
      </c>
      <c r="H213" s="69" t="n"/>
      <c r="I213" s="69" t="n"/>
      <c r="J213" s="129" t="inlineStr">
        <is>
          <t>M237-4GTV-4804C</t>
        </is>
      </c>
      <c r="K213" s="69" t="n"/>
      <c r="L213" s="69" t="n"/>
      <c r="M213" s="62" t="inlineStr">
        <is>
          <t>Valve Packing Replacement</t>
        </is>
      </c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2" t="n">
        <v>4</v>
      </c>
      <c r="X213" s="62" t="n">
        <v>4</v>
      </c>
      <c r="Y213" s="456" t="n"/>
      <c r="Z213" s="69" t="n"/>
      <c r="AA213" s="62" t="n">
        <v>600</v>
      </c>
      <c r="AB213" s="62" t="n">
        <v>600</v>
      </c>
      <c r="AC213" s="73" t="n"/>
      <c r="AD213" s="69" t="n"/>
      <c r="AE213" s="69" t="n"/>
      <c r="AF213" s="73" t="n"/>
      <c r="AG213" s="69" t="n"/>
      <c r="AH213" s="85" t="n"/>
    </row>
    <row r="214">
      <c r="A214" s="83" t="n">
        <v>249</v>
      </c>
      <c r="B214" s="76" t="n">
        <v>81895783</v>
      </c>
      <c r="C214" s="63" t="inlineStr">
        <is>
          <t>TA25AWR053</t>
        </is>
      </c>
      <c r="D214" s="63" t="inlineStr">
        <is>
          <t>Urea</t>
        </is>
      </c>
      <c r="E214" s="63" t="inlineStr">
        <is>
          <t>Unit 33</t>
        </is>
      </c>
      <c r="F214" s="63" t="inlineStr">
        <is>
          <t>GATE VALVE</t>
        </is>
      </c>
      <c r="G214" s="63" t="inlineStr">
        <is>
          <t>PK VALVE</t>
        </is>
      </c>
      <c r="H214" s="69" t="n"/>
      <c r="I214" s="69" t="n"/>
      <c r="J214" s="130" t="inlineStr">
        <is>
          <t>M237-16GTV-3303</t>
        </is>
      </c>
      <c r="K214" s="69" t="n"/>
      <c r="L214" s="69" t="n"/>
      <c r="M214" s="63" t="inlineStr">
        <is>
          <t>Valve Packing Replacement</t>
        </is>
      </c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3" t="n">
        <v>16</v>
      </c>
      <c r="X214" s="63" t="n">
        <v>16</v>
      </c>
      <c r="Y214" s="456" t="n"/>
      <c r="Z214" s="69" t="n"/>
      <c r="AA214" s="63" t="n">
        <v>300</v>
      </c>
      <c r="AB214" s="63" t="n">
        <v>300</v>
      </c>
      <c r="AC214" s="73" t="n"/>
      <c r="AD214" s="69" t="n"/>
      <c r="AE214" s="69" t="n"/>
      <c r="AF214" s="73" t="n"/>
      <c r="AG214" s="69" t="n"/>
      <c r="AH214" s="85" t="n"/>
    </row>
    <row r="215">
      <c r="A215" s="83" t="n">
        <v>250</v>
      </c>
      <c r="B215" s="76" t="n">
        <v>81895784</v>
      </c>
      <c r="C215" s="63" t="inlineStr">
        <is>
          <t>TA25AWR053</t>
        </is>
      </c>
      <c r="D215" s="63" t="inlineStr">
        <is>
          <t>Urea</t>
        </is>
      </c>
      <c r="E215" s="63" t="inlineStr">
        <is>
          <t>Unit 33</t>
        </is>
      </c>
      <c r="F215" s="63" t="inlineStr">
        <is>
          <t>GATE VALVE</t>
        </is>
      </c>
      <c r="G215" s="63" t="inlineStr">
        <is>
          <t>PK VALVE</t>
        </is>
      </c>
      <c r="H215" s="69" t="n"/>
      <c r="I215" s="69" t="n"/>
      <c r="J215" s="130" t="inlineStr">
        <is>
          <t>M237-16GTV-3302</t>
        </is>
      </c>
      <c r="K215" s="69" t="n"/>
      <c r="L215" s="69" t="n"/>
      <c r="M215" s="63" t="inlineStr">
        <is>
          <t>Valve Packing Replacement</t>
        </is>
      </c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3" t="n">
        <v>16</v>
      </c>
      <c r="X215" s="63" t="n">
        <v>16</v>
      </c>
      <c r="Y215" s="456" t="n"/>
      <c r="Z215" s="69" t="n"/>
      <c r="AA215" s="63" t="n">
        <v>300</v>
      </c>
      <c r="AB215" s="63" t="n">
        <v>300</v>
      </c>
      <c r="AC215" s="73" t="n"/>
      <c r="AD215" s="69" t="n"/>
      <c r="AE215" s="69" t="n"/>
      <c r="AF215" s="73" t="n"/>
      <c r="AG215" s="69" t="n"/>
      <c r="AH215" s="85" t="n"/>
    </row>
    <row r="216">
      <c r="A216" s="82" t="n">
        <v>251</v>
      </c>
      <c r="B216" s="75" t="n">
        <v>81895785</v>
      </c>
      <c r="C216" s="62" t="inlineStr">
        <is>
          <t>TA25AWR053</t>
        </is>
      </c>
      <c r="D216" s="62" t="inlineStr">
        <is>
          <t>Urea</t>
        </is>
      </c>
      <c r="E216" s="62" t="inlineStr">
        <is>
          <t>Unit 33</t>
        </is>
      </c>
      <c r="F216" s="62" t="inlineStr">
        <is>
          <t>GATE VALVE</t>
        </is>
      </c>
      <c r="G216" s="62" t="inlineStr">
        <is>
          <t>PK VALVE</t>
        </is>
      </c>
      <c r="H216" s="69" t="n"/>
      <c r="I216" s="69" t="n"/>
      <c r="J216" s="129" t="inlineStr">
        <is>
          <t>M237-16GTV-3301</t>
        </is>
      </c>
      <c r="K216" s="69" t="n"/>
      <c r="L216" s="69" t="n"/>
      <c r="M216" s="62" t="inlineStr">
        <is>
          <t>Valve Packing Replacement</t>
        </is>
      </c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2" t="n">
        <v>16</v>
      </c>
      <c r="X216" s="62" t="n">
        <v>16</v>
      </c>
      <c r="Y216" s="456" t="n"/>
      <c r="Z216" s="69" t="n"/>
      <c r="AA216" s="62" t="n">
        <v>300</v>
      </c>
      <c r="AB216" s="62" t="n">
        <v>300</v>
      </c>
      <c r="AC216" s="73" t="n"/>
      <c r="AD216" s="69" t="n"/>
      <c r="AE216" s="69" t="n"/>
      <c r="AF216" s="73" t="n"/>
      <c r="AG216" s="69" t="n"/>
      <c r="AH216" s="85" t="n"/>
    </row>
    <row r="217">
      <c r="A217" s="82" t="n">
        <v>252</v>
      </c>
      <c r="B217" s="75" t="n">
        <v>81895786</v>
      </c>
      <c r="C217" s="62" t="inlineStr">
        <is>
          <t>TA25AWR053</t>
        </is>
      </c>
      <c r="D217" s="62" t="inlineStr">
        <is>
          <t>Urea</t>
        </is>
      </c>
      <c r="E217" s="62" t="inlineStr">
        <is>
          <t>Unit 33</t>
        </is>
      </c>
      <c r="F217" s="62" t="inlineStr">
        <is>
          <t>GATE VALVE</t>
        </is>
      </c>
      <c r="G217" s="62" t="inlineStr">
        <is>
          <t>PK VALVE</t>
        </is>
      </c>
      <c r="H217" s="69" t="n"/>
      <c r="I217" s="69" t="n"/>
      <c r="J217" s="129" t="inlineStr">
        <is>
          <t>M237-24GTV-3301</t>
        </is>
      </c>
      <c r="K217" s="69" t="n"/>
      <c r="L217" s="69" t="n"/>
      <c r="M217" s="62" t="inlineStr">
        <is>
          <t>Valve Packing Replacement</t>
        </is>
      </c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2" t="n">
        <v>24</v>
      </c>
      <c r="X217" s="62" t="n">
        <v>24</v>
      </c>
      <c r="Y217" s="456" t="n"/>
      <c r="Z217" s="69" t="n"/>
      <c r="AA217" s="62" t="n">
        <v>150</v>
      </c>
      <c r="AB217" s="62" t="n">
        <v>150</v>
      </c>
      <c r="AC217" s="73" t="n"/>
      <c r="AD217" s="69" t="n"/>
      <c r="AE217" s="69" t="n"/>
      <c r="AF217" s="73" t="n"/>
      <c r="AG217" s="69" t="n"/>
      <c r="AH217" s="85" t="n"/>
    </row>
    <row r="218">
      <c r="A218" s="82" t="n">
        <v>253</v>
      </c>
      <c r="B218" s="75" t="n">
        <v>81896319</v>
      </c>
      <c r="C218" s="62" t="inlineStr">
        <is>
          <t>TA25AWR053</t>
        </is>
      </c>
      <c r="D218" s="62" t="inlineStr">
        <is>
          <t>Urea</t>
        </is>
      </c>
      <c r="E218" s="62" t="inlineStr">
        <is>
          <t>Unit 33</t>
        </is>
      </c>
      <c r="F218" s="62" t="inlineStr">
        <is>
          <t>GATE VALVE</t>
        </is>
      </c>
      <c r="G218" s="62" t="inlineStr">
        <is>
          <t>PK VALVE</t>
        </is>
      </c>
      <c r="H218" s="69" t="n"/>
      <c r="I218" s="69" t="n"/>
      <c r="J218" s="129" t="inlineStr">
        <is>
          <t>M237-14GTV-3301</t>
        </is>
      </c>
      <c r="K218" s="69" t="n"/>
      <c r="L218" s="69" t="n"/>
      <c r="M218" s="62" t="inlineStr">
        <is>
          <t>Valve Packing Replacement</t>
        </is>
      </c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2" t="n">
        <v>14</v>
      </c>
      <c r="X218" s="62" t="n">
        <v>14</v>
      </c>
      <c r="Y218" s="456" t="n"/>
      <c r="Z218" s="69" t="n"/>
      <c r="AA218" s="62" t="n">
        <v>150</v>
      </c>
      <c r="AB218" s="62" t="n">
        <v>150</v>
      </c>
      <c r="AC218" s="73" t="n"/>
      <c r="AD218" s="69" t="n"/>
      <c r="AE218" s="69" t="n"/>
      <c r="AF218" s="73" t="n"/>
      <c r="AG218" s="69" t="n"/>
      <c r="AH218" s="85" t="n"/>
    </row>
    <row r="219">
      <c r="A219" s="82" t="n">
        <v>254</v>
      </c>
      <c r="B219" s="75" t="n">
        <v>81896320</v>
      </c>
      <c r="C219" s="62" t="inlineStr">
        <is>
          <t>TA25AWR053</t>
        </is>
      </c>
      <c r="D219" s="62" t="inlineStr">
        <is>
          <t>Urea</t>
        </is>
      </c>
      <c r="E219" s="62" t="inlineStr">
        <is>
          <t>Unit 34</t>
        </is>
      </c>
      <c r="F219" s="62" t="inlineStr">
        <is>
          <t>GATE VALVE</t>
        </is>
      </c>
      <c r="G219" s="62" t="inlineStr">
        <is>
          <t>PK VALVE</t>
        </is>
      </c>
      <c r="H219" s="69" t="n"/>
      <c r="I219" s="69" t="n"/>
      <c r="J219" s="129" t="inlineStr">
        <is>
          <t>M237-10GTV-3401</t>
        </is>
      </c>
      <c r="K219" s="69" t="n"/>
      <c r="L219" s="69" t="n"/>
      <c r="M219" s="62" t="inlineStr">
        <is>
          <t>Valve Packing Replacement</t>
        </is>
      </c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2" t="n">
        <v>10</v>
      </c>
      <c r="X219" s="62" t="n">
        <v>10</v>
      </c>
      <c r="Y219" s="456" t="n"/>
      <c r="Z219" s="69" t="n"/>
      <c r="AA219" s="62" t="n">
        <v>300</v>
      </c>
      <c r="AB219" s="62" t="n">
        <v>300</v>
      </c>
      <c r="AC219" s="73" t="n"/>
      <c r="AD219" s="69" t="n"/>
      <c r="AE219" s="69" t="n"/>
      <c r="AF219" s="73" t="n"/>
      <c r="AG219" s="69" t="n"/>
      <c r="AH219" s="85" t="n"/>
    </row>
    <row r="220">
      <c r="A220" s="82" t="n">
        <v>255</v>
      </c>
      <c r="B220" s="75" t="n">
        <v>81896441</v>
      </c>
      <c r="C220" s="62" t="inlineStr">
        <is>
          <t>TA25AWR053</t>
        </is>
      </c>
      <c r="D220" s="62" t="inlineStr">
        <is>
          <t>Urea</t>
        </is>
      </c>
      <c r="E220" s="62" t="inlineStr">
        <is>
          <t>Unit 34</t>
        </is>
      </c>
      <c r="F220" s="62" t="inlineStr">
        <is>
          <t>GATE VALVE</t>
        </is>
      </c>
      <c r="G220" s="62" t="inlineStr">
        <is>
          <t>PK VALVE</t>
        </is>
      </c>
      <c r="H220" s="69" t="n"/>
      <c r="I220" s="69" t="n"/>
      <c r="J220" s="129" t="inlineStr">
        <is>
          <t>M237-4GTV-3401</t>
        </is>
      </c>
      <c r="K220" s="69" t="n"/>
      <c r="L220" s="69" t="n"/>
      <c r="M220" s="62" t="inlineStr">
        <is>
          <t>Valve Packing Replacement</t>
        </is>
      </c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2" t="n">
        <v>4</v>
      </c>
      <c r="X220" s="62" t="n">
        <v>4</v>
      </c>
      <c r="Y220" s="456" t="n"/>
      <c r="Z220" s="69" t="n"/>
      <c r="AA220" s="62" t="n">
        <v>300</v>
      </c>
      <c r="AB220" s="62" t="n">
        <v>300</v>
      </c>
      <c r="AC220" s="73" t="n"/>
      <c r="AD220" s="69" t="n"/>
      <c r="AE220" s="69" t="n"/>
      <c r="AF220" s="73" t="n"/>
      <c r="AG220" s="69" t="n"/>
      <c r="AH220" s="85" t="n"/>
    </row>
    <row r="221">
      <c r="A221" s="82" t="n">
        <v>256</v>
      </c>
      <c r="B221" s="75" t="n">
        <v>81896442</v>
      </c>
      <c r="C221" s="62" t="inlineStr">
        <is>
          <t>TA25AWR053</t>
        </is>
      </c>
      <c r="D221" s="62" t="inlineStr">
        <is>
          <t>Urea</t>
        </is>
      </c>
      <c r="E221" s="62" t="inlineStr">
        <is>
          <t>Unit 34</t>
        </is>
      </c>
      <c r="F221" s="62" t="inlineStr">
        <is>
          <t>GATE VALVE</t>
        </is>
      </c>
      <c r="G221" s="62" t="inlineStr">
        <is>
          <t>PK VALVE</t>
        </is>
      </c>
      <c r="H221" s="69" t="n"/>
      <c r="I221" s="69" t="n"/>
      <c r="J221" s="129" t="inlineStr">
        <is>
          <t>M237-4GTV-3402</t>
        </is>
      </c>
      <c r="K221" s="69" t="n"/>
      <c r="L221" s="69" t="n"/>
      <c r="M221" s="62" t="inlineStr">
        <is>
          <t>Valve Packing Replacement</t>
        </is>
      </c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2" t="n">
        <v>4</v>
      </c>
      <c r="X221" s="62" t="n">
        <v>4</v>
      </c>
      <c r="Y221" s="456" t="n"/>
      <c r="Z221" s="69" t="n"/>
      <c r="AA221" s="62" t="n">
        <v>300</v>
      </c>
      <c r="AB221" s="62" t="n">
        <v>300</v>
      </c>
      <c r="AC221" s="73" t="n"/>
      <c r="AD221" s="69" t="n"/>
      <c r="AE221" s="69" t="n"/>
      <c r="AF221" s="73" t="n"/>
      <c r="AG221" s="69" t="n"/>
      <c r="AH221" s="85" t="n"/>
    </row>
    <row r="222">
      <c r="A222" s="82" t="n">
        <v>257</v>
      </c>
      <c r="B222" s="75" t="n">
        <v>81896443</v>
      </c>
      <c r="C222" s="62" t="inlineStr">
        <is>
          <t>TA25AWR053</t>
        </is>
      </c>
      <c r="D222" s="62" t="inlineStr">
        <is>
          <t>Urea</t>
        </is>
      </c>
      <c r="E222" s="62" t="inlineStr">
        <is>
          <t>Unit 35</t>
        </is>
      </c>
      <c r="F222" s="62" t="inlineStr">
        <is>
          <t>GATE VALVE</t>
        </is>
      </c>
      <c r="G222" s="62" t="inlineStr">
        <is>
          <t>PK VALVE</t>
        </is>
      </c>
      <c r="H222" s="69" t="n"/>
      <c r="I222" s="69" t="n"/>
      <c r="J222" s="129" t="inlineStr">
        <is>
          <t>M237-10GTV-3501</t>
        </is>
      </c>
      <c r="K222" s="69" t="n"/>
      <c r="L222" s="69" t="n"/>
      <c r="M222" s="62" t="inlineStr">
        <is>
          <t>Valve Packing Replacement</t>
        </is>
      </c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2" t="n">
        <v>10</v>
      </c>
      <c r="X222" s="62" t="n">
        <v>10</v>
      </c>
      <c r="Y222" s="456" t="n"/>
      <c r="Z222" s="69" t="n"/>
      <c r="AA222" s="62" t="n">
        <v>150</v>
      </c>
      <c r="AB222" s="62" t="n">
        <v>150</v>
      </c>
      <c r="AC222" s="73" t="n"/>
      <c r="AD222" s="69" t="n"/>
      <c r="AE222" s="69" t="n"/>
      <c r="AF222" s="73" t="n"/>
      <c r="AG222" s="69" t="n"/>
      <c r="AH222" s="85" t="n"/>
    </row>
    <row r="223">
      <c r="A223" s="82" t="n">
        <v>258</v>
      </c>
      <c r="B223" s="75" t="n">
        <v>81896444</v>
      </c>
      <c r="C223" s="62" t="inlineStr">
        <is>
          <t>TA25AWR053</t>
        </is>
      </c>
      <c r="D223" s="62" t="inlineStr">
        <is>
          <t>Urea</t>
        </is>
      </c>
      <c r="E223" s="62" t="inlineStr">
        <is>
          <t>Unit 36</t>
        </is>
      </c>
      <c r="F223" s="62" t="inlineStr">
        <is>
          <t>GATE VALVE</t>
        </is>
      </c>
      <c r="G223" s="62" t="inlineStr">
        <is>
          <t>PK VALVE</t>
        </is>
      </c>
      <c r="H223" s="69" t="n"/>
      <c r="I223" s="69" t="n"/>
      <c r="J223" s="129" t="inlineStr">
        <is>
          <t>M237-16GTV-3601</t>
        </is>
      </c>
      <c r="K223" s="69" t="n"/>
      <c r="L223" s="69" t="n"/>
      <c r="M223" s="62" t="inlineStr">
        <is>
          <t>Valve Packing Replacement</t>
        </is>
      </c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2" t="n">
        <v>16</v>
      </c>
      <c r="X223" s="62" t="n">
        <v>16</v>
      </c>
      <c r="Y223" s="456" t="n"/>
      <c r="Z223" s="69" t="n"/>
      <c r="AA223" s="62" t="n">
        <v>150</v>
      </c>
      <c r="AB223" s="62" t="n">
        <v>150</v>
      </c>
      <c r="AC223" s="73" t="n"/>
      <c r="AD223" s="69" t="n"/>
      <c r="AE223" s="69" t="n"/>
      <c r="AF223" s="73" t="n"/>
      <c r="AG223" s="69" t="n"/>
      <c r="AH223" s="85" t="n"/>
    </row>
    <row r="224">
      <c r="A224" s="82" t="n">
        <v>259</v>
      </c>
      <c r="B224" s="75" t="n">
        <v>81896445</v>
      </c>
      <c r="C224" s="62" t="inlineStr">
        <is>
          <t>TA25AWR053</t>
        </is>
      </c>
      <c r="D224" s="62" t="inlineStr">
        <is>
          <t>Urea</t>
        </is>
      </c>
      <c r="E224" s="62" t="inlineStr">
        <is>
          <t>Unit 37</t>
        </is>
      </c>
      <c r="F224" s="62" t="inlineStr">
        <is>
          <t>GATE VALVE</t>
        </is>
      </c>
      <c r="G224" s="62" t="inlineStr">
        <is>
          <t>PK VALVE</t>
        </is>
      </c>
      <c r="H224" s="69" t="n"/>
      <c r="I224" s="69" t="n"/>
      <c r="J224" s="129" t="inlineStr">
        <is>
          <t>M237-16GTV-3602</t>
        </is>
      </c>
      <c r="K224" s="69" t="n"/>
      <c r="L224" s="69" t="n"/>
      <c r="M224" s="62" t="inlineStr">
        <is>
          <t>Valve Packing Replacement</t>
        </is>
      </c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2" t="n">
        <v>16</v>
      </c>
      <c r="X224" s="62" t="n">
        <v>16</v>
      </c>
      <c r="Y224" s="456" t="n"/>
      <c r="Z224" s="69" t="n"/>
      <c r="AA224" s="62" t="n">
        <v>150</v>
      </c>
      <c r="AB224" s="62" t="n">
        <v>150</v>
      </c>
      <c r="AC224" s="73" t="n"/>
      <c r="AD224" s="69" t="n"/>
      <c r="AE224" s="69" t="n"/>
      <c r="AF224" s="73" t="n"/>
      <c r="AG224" s="69" t="n"/>
      <c r="AH224" s="85" t="n"/>
    </row>
    <row r="225">
      <c r="A225" s="82" t="n">
        <v>260</v>
      </c>
      <c r="B225" s="75" t="n">
        <v>81896446</v>
      </c>
      <c r="C225" s="62" t="inlineStr">
        <is>
          <t>TA25AWR053</t>
        </is>
      </c>
      <c r="D225" s="62" t="inlineStr">
        <is>
          <t>Urea</t>
        </is>
      </c>
      <c r="E225" s="62" t="inlineStr">
        <is>
          <t>Unit 37</t>
        </is>
      </c>
      <c r="F225" s="62" t="inlineStr">
        <is>
          <t>GATE VALVE</t>
        </is>
      </c>
      <c r="G225" s="62" t="inlineStr">
        <is>
          <t>PK VALVE</t>
        </is>
      </c>
      <c r="H225" s="69" t="n"/>
      <c r="I225" s="69" t="n"/>
      <c r="J225" s="129" t="inlineStr">
        <is>
          <t>M237-10GTV-3701</t>
        </is>
      </c>
      <c r="K225" s="69" t="n"/>
      <c r="L225" s="69" t="n"/>
      <c r="M225" s="62" t="inlineStr">
        <is>
          <t>Valve Packing Replacement</t>
        </is>
      </c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2" t="n">
        <v>10</v>
      </c>
      <c r="X225" s="62" t="n">
        <v>10</v>
      </c>
      <c r="Y225" s="456" t="n"/>
      <c r="Z225" s="69" t="n"/>
      <c r="AA225" s="62" t="n">
        <v>150</v>
      </c>
      <c r="AB225" s="62" t="n">
        <v>150</v>
      </c>
      <c r="AC225" s="73" t="n"/>
      <c r="AD225" s="69" t="n"/>
      <c r="AE225" s="69" t="n"/>
      <c r="AF225" s="73" t="n"/>
      <c r="AG225" s="69" t="n"/>
      <c r="AH225" s="85" t="n"/>
    </row>
    <row r="226">
      <c r="A226" s="82" t="n">
        <v>261</v>
      </c>
      <c r="B226" s="75" t="n">
        <v>81896447</v>
      </c>
      <c r="C226" s="62" t="inlineStr">
        <is>
          <t>TA25AWR053</t>
        </is>
      </c>
      <c r="D226" s="62" t="inlineStr">
        <is>
          <t>Urea</t>
        </is>
      </c>
      <c r="E226" s="62" t="inlineStr">
        <is>
          <t>Unit 37</t>
        </is>
      </c>
      <c r="F226" s="62" t="inlineStr">
        <is>
          <t>GATE VALVE</t>
        </is>
      </c>
      <c r="G226" s="62" t="inlineStr">
        <is>
          <t>PK VALVE</t>
        </is>
      </c>
      <c r="H226" s="69" t="n"/>
      <c r="I226" s="69" t="n"/>
      <c r="J226" s="129" t="inlineStr">
        <is>
          <t>M237-10GTV-3702</t>
        </is>
      </c>
      <c r="K226" s="69" t="n"/>
      <c r="L226" s="69" t="n"/>
      <c r="M226" s="62" t="inlineStr">
        <is>
          <t>Valve Packing Replacement</t>
        </is>
      </c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2" t="n">
        <v>10</v>
      </c>
      <c r="X226" s="62" t="n">
        <v>10</v>
      </c>
      <c r="Y226" s="456" t="n"/>
      <c r="Z226" s="69" t="n"/>
      <c r="AA226" s="62" t="n">
        <v>150</v>
      </c>
      <c r="AB226" s="62" t="n">
        <v>150</v>
      </c>
      <c r="AC226" s="73" t="n"/>
      <c r="AD226" s="69" t="n"/>
      <c r="AE226" s="69" t="n"/>
      <c r="AF226" s="73" t="n"/>
      <c r="AG226" s="69" t="n"/>
      <c r="AH226" s="85" t="n"/>
    </row>
    <row r="227">
      <c r="A227" s="82" t="n">
        <v>262</v>
      </c>
      <c r="B227" s="75" t="n">
        <v>81896455</v>
      </c>
      <c r="C227" s="62" t="inlineStr">
        <is>
          <t>TA25AWR053</t>
        </is>
      </c>
      <c r="D227" s="62" t="inlineStr">
        <is>
          <t>Urea</t>
        </is>
      </c>
      <c r="E227" s="62" t="inlineStr">
        <is>
          <t>Unit 37</t>
        </is>
      </c>
      <c r="F227" s="62" t="inlineStr">
        <is>
          <t>GLOBE VALVE</t>
        </is>
      </c>
      <c r="G227" s="62" t="inlineStr">
        <is>
          <t>PK VALVE</t>
        </is>
      </c>
      <c r="H227" s="69" t="n"/>
      <c r="I227" s="69" t="n"/>
      <c r="J227" s="129" t="inlineStr">
        <is>
          <t>M237-10GBV-3701</t>
        </is>
      </c>
      <c r="K227" s="69" t="n"/>
      <c r="L227" s="69" t="n"/>
      <c r="M227" s="62" t="inlineStr">
        <is>
          <t>Valve Packing Replacement</t>
        </is>
      </c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2" t="n">
        <v>10</v>
      </c>
      <c r="X227" s="62" t="n">
        <v>10</v>
      </c>
      <c r="Y227" s="456" t="n"/>
      <c r="Z227" s="69" t="n"/>
      <c r="AA227" s="62" t="n">
        <v>150</v>
      </c>
      <c r="AB227" s="62" t="n">
        <v>150</v>
      </c>
      <c r="AC227" s="73" t="n"/>
      <c r="AD227" s="69" t="n"/>
      <c r="AE227" s="69" t="n"/>
      <c r="AF227" s="73" t="n"/>
      <c r="AG227" s="69" t="n"/>
      <c r="AH227" s="85" t="n"/>
    </row>
    <row r="228">
      <c r="A228" s="82" t="n">
        <v>263</v>
      </c>
      <c r="B228" s="75" t="n">
        <v>81896456</v>
      </c>
      <c r="C228" s="62" t="inlineStr">
        <is>
          <t>TA25AWR053</t>
        </is>
      </c>
      <c r="D228" s="62" t="inlineStr">
        <is>
          <t>Urea</t>
        </is>
      </c>
      <c r="E228" s="62" t="inlineStr">
        <is>
          <t>Unit 37</t>
        </is>
      </c>
      <c r="F228" s="62" t="inlineStr">
        <is>
          <t>GATE VALVE</t>
        </is>
      </c>
      <c r="G228" s="62" t="inlineStr">
        <is>
          <t>PK VALVE</t>
        </is>
      </c>
      <c r="H228" s="69" t="n"/>
      <c r="I228" s="69" t="n"/>
      <c r="J228" s="129" t="inlineStr">
        <is>
          <t>M237-6GTV-3701</t>
        </is>
      </c>
      <c r="K228" s="69" t="n"/>
      <c r="L228" s="69" t="n"/>
      <c r="M228" s="62" t="inlineStr">
        <is>
          <t>Valve Packing Replacement</t>
        </is>
      </c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2" t="n">
        <v>6</v>
      </c>
      <c r="X228" s="62" t="n">
        <v>6</v>
      </c>
      <c r="Y228" s="456" t="n"/>
      <c r="Z228" s="69" t="n"/>
      <c r="AA228" s="62" t="n">
        <v>600</v>
      </c>
      <c r="AB228" s="62" t="n">
        <v>600</v>
      </c>
      <c r="AC228" s="73" t="n"/>
      <c r="AD228" s="69" t="n"/>
      <c r="AE228" s="69" t="n"/>
      <c r="AF228" s="73" t="n"/>
      <c r="AG228" s="69" t="n"/>
      <c r="AH228" s="85" t="n"/>
    </row>
    <row r="229">
      <c r="A229" s="82" t="n">
        <v>264</v>
      </c>
      <c r="B229" s="75" t="n">
        <v>81896552</v>
      </c>
      <c r="C229" s="62" t="inlineStr">
        <is>
          <t>TA25AWR053</t>
        </is>
      </c>
      <c r="D229" s="62" t="inlineStr">
        <is>
          <t>Urea</t>
        </is>
      </c>
      <c r="E229" s="62" t="inlineStr">
        <is>
          <t>Unit 37</t>
        </is>
      </c>
      <c r="F229" s="62" t="inlineStr">
        <is>
          <t>GATE VALVE</t>
        </is>
      </c>
      <c r="G229" s="62" t="inlineStr">
        <is>
          <t>PK VALVE</t>
        </is>
      </c>
      <c r="H229" s="69" t="n"/>
      <c r="I229" s="69" t="n"/>
      <c r="J229" s="129" t="inlineStr">
        <is>
          <t>M237-6GTV-3702</t>
        </is>
      </c>
      <c r="K229" s="69" t="n"/>
      <c r="L229" s="69" t="n"/>
      <c r="M229" s="62" t="inlineStr">
        <is>
          <t>Valve Packing Replacement</t>
        </is>
      </c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2" t="n">
        <v>6</v>
      </c>
      <c r="X229" s="62" t="n">
        <v>6</v>
      </c>
      <c r="Y229" s="456" t="n"/>
      <c r="Z229" s="69" t="n"/>
      <c r="AA229" s="62" t="n">
        <v>600</v>
      </c>
      <c r="AB229" s="62" t="n">
        <v>600</v>
      </c>
      <c r="AC229" s="73" t="n"/>
      <c r="AD229" s="69" t="n"/>
      <c r="AE229" s="69" t="n"/>
      <c r="AF229" s="73" t="n"/>
      <c r="AG229" s="69" t="n"/>
      <c r="AH229" s="85" t="n"/>
    </row>
    <row r="230">
      <c r="A230" s="82" t="n">
        <v>265</v>
      </c>
      <c r="B230" s="75" t="n">
        <v>81896553</v>
      </c>
      <c r="C230" s="62" t="inlineStr">
        <is>
          <t>TA25AWR053</t>
        </is>
      </c>
      <c r="D230" s="62" t="inlineStr">
        <is>
          <t>Urea</t>
        </is>
      </c>
      <c r="E230" s="62" t="inlineStr">
        <is>
          <t>Unit 37</t>
        </is>
      </c>
      <c r="F230" s="62" t="inlineStr">
        <is>
          <t>GLOBE VALVE</t>
        </is>
      </c>
      <c r="G230" s="62" t="inlineStr">
        <is>
          <t>PK VALVE</t>
        </is>
      </c>
      <c r="H230" s="69" t="n"/>
      <c r="I230" s="69" t="n"/>
      <c r="J230" s="129" t="inlineStr">
        <is>
          <t>M237-6GBV-3701</t>
        </is>
      </c>
      <c r="K230" s="69" t="n"/>
      <c r="L230" s="69" t="n"/>
      <c r="M230" s="62" t="inlineStr">
        <is>
          <t>Valve Packing Replacement</t>
        </is>
      </c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2" t="n">
        <v>6</v>
      </c>
      <c r="X230" s="62" t="n">
        <v>6</v>
      </c>
      <c r="Y230" s="456" t="n"/>
      <c r="Z230" s="69" t="n"/>
      <c r="AA230" s="62" t="n">
        <v>150</v>
      </c>
      <c r="AB230" s="62" t="n">
        <v>150</v>
      </c>
      <c r="AC230" s="73" t="n"/>
      <c r="AD230" s="69" t="n"/>
      <c r="AE230" s="69" t="n"/>
      <c r="AF230" s="73" t="n"/>
      <c r="AG230" s="69" t="n"/>
      <c r="AH230" s="85" t="n"/>
    </row>
    <row r="231">
      <c r="A231" s="82" t="n">
        <v>266</v>
      </c>
      <c r="B231" s="75" t="n">
        <v>81896555</v>
      </c>
      <c r="C231" s="62" t="inlineStr">
        <is>
          <t>TA25AWR053</t>
        </is>
      </c>
      <c r="D231" s="62" t="inlineStr">
        <is>
          <t>Urea</t>
        </is>
      </c>
      <c r="E231" s="62" t="inlineStr">
        <is>
          <t>Unit 39</t>
        </is>
      </c>
      <c r="F231" s="62" t="inlineStr">
        <is>
          <t>GATE VALVE</t>
        </is>
      </c>
      <c r="G231" s="62" t="inlineStr">
        <is>
          <t>PK VALVE</t>
        </is>
      </c>
      <c r="H231" s="69" t="n"/>
      <c r="I231" s="69" t="n"/>
      <c r="J231" s="129" t="inlineStr">
        <is>
          <t>M237-4GTV-3901</t>
        </is>
      </c>
      <c r="K231" s="69" t="n"/>
      <c r="L231" s="69" t="n"/>
      <c r="M231" s="62" t="inlineStr">
        <is>
          <t>Valve Packing Replacement</t>
        </is>
      </c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2" t="n">
        <v>4</v>
      </c>
      <c r="X231" s="62" t="n">
        <v>4</v>
      </c>
      <c r="Y231" s="456" t="n"/>
      <c r="Z231" s="69" t="n"/>
      <c r="AA231" s="62" t="n">
        <v>300</v>
      </c>
      <c r="AB231" s="62" t="n">
        <v>300</v>
      </c>
      <c r="AC231" s="73" t="n"/>
      <c r="AD231" s="69" t="n"/>
      <c r="AE231" s="69" t="n"/>
      <c r="AF231" s="73" t="n"/>
      <c r="AG231" s="69" t="n"/>
      <c r="AH231" s="85" t="n"/>
    </row>
    <row r="232">
      <c r="A232" s="82" t="n">
        <v>267</v>
      </c>
      <c r="B232" s="75" t="n">
        <v>81896556</v>
      </c>
      <c r="C232" s="62" t="inlineStr">
        <is>
          <t>TA25AWR053</t>
        </is>
      </c>
      <c r="D232" s="62" t="inlineStr">
        <is>
          <t>Urea</t>
        </is>
      </c>
      <c r="E232" s="62" t="inlineStr">
        <is>
          <t>Unit 39</t>
        </is>
      </c>
      <c r="F232" s="62" t="inlineStr">
        <is>
          <t>GATE VALVE</t>
        </is>
      </c>
      <c r="G232" s="62" t="inlineStr">
        <is>
          <t>PK VALVE</t>
        </is>
      </c>
      <c r="H232" s="69" t="n"/>
      <c r="I232" s="69" t="n"/>
      <c r="J232" s="129" t="inlineStr">
        <is>
          <t>M237-4GTV-3902</t>
        </is>
      </c>
      <c r="K232" s="69" t="n"/>
      <c r="L232" s="69" t="n"/>
      <c r="M232" s="62" t="inlineStr">
        <is>
          <t>Valve Packing Replacement</t>
        </is>
      </c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2" t="n">
        <v>4</v>
      </c>
      <c r="X232" s="62" t="n">
        <v>4</v>
      </c>
      <c r="Y232" s="456" t="n"/>
      <c r="Z232" s="69" t="n"/>
      <c r="AA232" s="62" t="n">
        <v>300</v>
      </c>
      <c r="AB232" s="62" t="n">
        <v>300</v>
      </c>
      <c r="AC232" s="73" t="n"/>
      <c r="AD232" s="69" t="n"/>
      <c r="AE232" s="69" t="n"/>
      <c r="AF232" s="73" t="n"/>
      <c r="AG232" s="69" t="n"/>
      <c r="AH232" s="85" t="n"/>
    </row>
    <row r="233">
      <c r="A233" s="82" t="n">
        <v>268</v>
      </c>
      <c r="B233" s="75" t="n">
        <v>81896557</v>
      </c>
      <c r="C233" s="62" t="inlineStr">
        <is>
          <t>TA25AWR053</t>
        </is>
      </c>
      <c r="D233" s="62" t="inlineStr">
        <is>
          <t>Urea</t>
        </is>
      </c>
      <c r="E233" s="62" t="inlineStr">
        <is>
          <t>Unit 39</t>
        </is>
      </c>
      <c r="F233" s="62" t="inlineStr">
        <is>
          <t>GLOBE VALVE</t>
        </is>
      </c>
      <c r="G233" s="62" t="inlineStr">
        <is>
          <t>PK VALVE</t>
        </is>
      </c>
      <c r="H233" s="69" t="n"/>
      <c r="I233" s="69" t="n"/>
      <c r="J233" s="129" t="inlineStr">
        <is>
          <t>M237-4GBV-3905</t>
        </is>
      </c>
      <c r="K233" s="69" t="n"/>
      <c r="L233" s="69" t="n"/>
      <c r="M233" s="62" t="inlineStr">
        <is>
          <t>Valve Packing Replacement</t>
        </is>
      </c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2" t="n">
        <v>4</v>
      </c>
      <c r="X233" s="62" t="n">
        <v>4</v>
      </c>
      <c r="Y233" s="456" t="n"/>
      <c r="Z233" s="69" t="n"/>
      <c r="AA233" s="62" t="n">
        <v>300</v>
      </c>
      <c r="AB233" s="62" t="n">
        <v>300</v>
      </c>
      <c r="AC233" s="73" t="n"/>
      <c r="AD233" s="69" t="n"/>
      <c r="AE233" s="69" t="n"/>
      <c r="AF233" s="73" t="n"/>
      <c r="AG233" s="69" t="n"/>
      <c r="AH233" s="85" t="n"/>
    </row>
    <row r="234">
      <c r="A234" s="82" t="n">
        <v>269</v>
      </c>
      <c r="B234" s="75" t="n">
        <v>81896558</v>
      </c>
      <c r="C234" s="62" t="inlineStr">
        <is>
          <t>TA25AWR053</t>
        </is>
      </c>
      <c r="D234" s="62" t="inlineStr">
        <is>
          <t>Urea</t>
        </is>
      </c>
      <c r="E234" s="62" t="inlineStr">
        <is>
          <t>Unit 39</t>
        </is>
      </c>
      <c r="F234" s="62" t="inlineStr">
        <is>
          <t>GATE VALVE</t>
        </is>
      </c>
      <c r="G234" s="62" t="inlineStr">
        <is>
          <t>PK VALVE</t>
        </is>
      </c>
      <c r="H234" s="69" t="n"/>
      <c r="I234" s="69" t="n"/>
      <c r="J234" s="129" t="inlineStr">
        <is>
          <t>M237-8GTV-3901A</t>
        </is>
      </c>
      <c r="K234" s="69" t="n"/>
      <c r="L234" s="69" t="n"/>
      <c r="M234" s="62" t="inlineStr">
        <is>
          <t>Valve Packing Replacement</t>
        </is>
      </c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2" t="n">
        <v>8</v>
      </c>
      <c r="X234" s="62" t="n">
        <v>8</v>
      </c>
      <c r="Y234" s="456" t="n"/>
      <c r="Z234" s="69" t="n"/>
      <c r="AA234" s="62" t="n">
        <v>300</v>
      </c>
      <c r="AB234" s="62" t="n">
        <v>300</v>
      </c>
      <c r="AC234" s="73" t="n"/>
      <c r="AD234" s="69" t="n"/>
      <c r="AE234" s="69" t="n"/>
      <c r="AF234" s="73" t="n"/>
      <c r="AG234" s="69" t="n"/>
      <c r="AH234" s="85" t="n"/>
    </row>
    <row r="235">
      <c r="A235" s="82" t="n">
        <v>270</v>
      </c>
      <c r="B235" s="75" t="n">
        <v>81896559</v>
      </c>
      <c r="C235" s="62" t="inlineStr">
        <is>
          <t>TA25AWR053</t>
        </is>
      </c>
      <c r="D235" s="62" t="inlineStr">
        <is>
          <t>Urea</t>
        </is>
      </c>
      <c r="E235" s="62" t="inlineStr">
        <is>
          <t>Unit 39</t>
        </is>
      </c>
      <c r="F235" s="62" t="inlineStr">
        <is>
          <t>GATE VALVE</t>
        </is>
      </c>
      <c r="G235" s="62" t="inlineStr">
        <is>
          <t>PK VALVE</t>
        </is>
      </c>
      <c r="H235" s="69" t="n"/>
      <c r="I235" s="69" t="n"/>
      <c r="J235" s="129" t="inlineStr">
        <is>
          <t>M237-8GTV-3901B</t>
        </is>
      </c>
      <c r="K235" s="69" t="n"/>
      <c r="L235" s="69" t="n"/>
      <c r="M235" s="62" t="inlineStr">
        <is>
          <t>Valve Packing Replacement</t>
        </is>
      </c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2" t="n">
        <v>8</v>
      </c>
      <c r="X235" s="62" t="n">
        <v>8</v>
      </c>
      <c r="Y235" s="456" t="n"/>
      <c r="Z235" s="69" t="n"/>
      <c r="AA235" s="62" t="n">
        <v>300</v>
      </c>
      <c r="AB235" s="62" t="n">
        <v>300</v>
      </c>
      <c r="AC235" s="73" t="n"/>
      <c r="AD235" s="69" t="n"/>
      <c r="AE235" s="69" t="n"/>
      <c r="AF235" s="73" t="n"/>
      <c r="AG235" s="69" t="n"/>
      <c r="AH235" s="85" t="n"/>
    </row>
    <row r="236">
      <c r="A236" s="82" t="n">
        <v>271</v>
      </c>
      <c r="B236" s="75" t="n">
        <v>81896560</v>
      </c>
      <c r="C236" s="62" t="inlineStr">
        <is>
          <t>TA25AWR053</t>
        </is>
      </c>
      <c r="D236" s="62" t="inlineStr">
        <is>
          <t>Urea</t>
        </is>
      </c>
      <c r="E236" s="62" t="inlineStr">
        <is>
          <t>Unit 39</t>
        </is>
      </c>
      <c r="F236" s="62" t="inlineStr">
        <is>
          <t>GATE VALVE</t>
        </is>
      </c>
      <c r="G236" s="62" t="inlineStr">
        <is>
          <t>PK VALVE</t>
        </is>
      </c>
      <c r="H236" s="69" t="n"/>
      <c r="I236" s="69" t="n"/>
      <c r="J236" s="129" t="inlineStr">
        <is>
          <t>M237-12GTV-3903</t>
        </is>
      </c>
      <c r="K236" s="69" t="n"/>
      <c r="L236" s="69" t="n"/>
      <c r="M236" s="62" t="inlineStr">
        <is>
          <t>Valve Packing Replacement</t>
        </is>
      </c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2" t="n">
        <v>12</v>
      </c>
      <c r="X236" s="62" t="n">
        <v>12</v>
      </c>
      <c r="Y236" s="456" t="n"/>
      <c r="Z236" s="69" t="n"/>
      <c r="AA236" s="62" t="n">
        <v>300</v>
      </c>
      <c r="AB236" s="62" t="n">
        <v>300</v>
      </c>
      <c r="AC236" s="73" t="n"/>
      <c r="AD236" s="69" t="n"/>
      <c r="AE236" s="69" t="n"/>
      <c r="AF236" s="73" t="n"/>
      <c r="AG236" s="69" t="n"/>
      <c r="AH236" s="85" t="n"/>
    </row>
    <row r="237">
      <c r="A237" s="82" t="n">
        <v>272</v>
      </c>
      <c r="B237" s="75" t="n">
        <v>81896661</v>
      </c>
      <c r="C237" s="62" t="inlineStr">
        <is>
          <t>TA25AWR053</t>
        </is>
      </c>
      <c r="D237" s="62" t="inlineStr">
        <is>
          <t>Urea</t>
        </is>
      </c>
      <c r="E237" s="62" t="inlineStr">
        <is>
          <t>Unit 39</t>
        </is>
      </c>
      <c r="F237" s="62" t="inlineStr">
        <is>
          <t>GATE VALVE</t>
        </is>
      </c>
      <c r="G237" s="62" t="inlineStr">
        <is>
          <t>PK VALVE</t>
        </is>
      </c>
      <c r="H237" s="69" t="n"/>
      <c r="I237" s="69" t="n"/>
      <c r="J237" s="129" t="inlineStr">
        <is>
          <t>M237-12GTV-3901</t>
        </is>
      </c>
      <c r="K237" s="69" t="n"/>
      <c r="L237" s="69" t="n"/>
      <c r="M237" s="62" t="inlineStr">
        <is>
          <t>Valve Packing Replacement</t>
        </is>
      </c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2" t="n">
        <v>12</v>
      </c>
      <c r="X237" s="62" t="n">
        <v>12</v>
      </c>
      <c r="Y237" s="456" t="n"/>
      <c r="Z237" s="69" t="n"/>
      <c r="AA237" s="62" t="n">
        <v>300</v>
      </c>
      <c r="AB237" s="62" t="n">
        <v>300</v>
      </c>
      <c r="AC237" s="73" t="n"/>
      <c r="AD237" s="69" t="n"/>
      <c r="AE237" s="69" t="n"/>
      <c r="AF237" s="73" t="n"/>
      <c r="AG237" s="69" t="n"/>
      <c r="AH237" s="85" t="n"/>
    </row>
    <row r="238">
      <c r="A238" s="82" t="n">
        <v>273</v>
      </c>
      <c r="B238" s="75" t="n">
        <v>81896662</v>
      </c>
      <c r="C238" s="62" t="inlineStr">
        <is>
          <t>TA25AWR053</t>
        </is>
      </c>
      <c r="D238" s="62" t="inlineStr">
        <is>
          <t>Urea</t>
        </is>
      </c>
      <c r="E238" s="62" t="inlineStr">
        <is>
          <t>Unit 39</t>
        </is>
      </c>
      <c r="F238" s="62" t="inlineStr">
        <is>
          <t>GATE VALVE</t>
        </is>
      </c>
      <c r="G238" s="62" t="inlineStr">
        <is>
          <t>PK VALVE</t>
        </is>
      </c>
      <c r="H238" s="69" t="n"/>
      <c r="I238" s="69" t="n"/>
      <c r="J238" s="129" t="inlineStr">
        <is>
          <t>M237-12GTV-3902</t>
        </is>
      </c>
      <c r="K238" s="69" t="n"/>
      <c r="L238" s="69" t="n"/>
      <c r="M238" s="62" t="inlineStr">
        <is>
          <t>Valve Packing Replacement</t>
        </is>
      </c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2" t="n">
        <v>12</v>
      </c>
      <c r="X238" s="62" t="n">
        <v>12</v>
      </c>
      <c r="Y238" s="456" t="n"/>
      <c r="Z238" s="69" t="n"/>
      <c r="AA238" s="62" t="n">
        <v>300</v>
      </c>
      <c r="AB238" s="62" t="n">
        <v>300</v>
      </c>
      <c r="AC238" s="73" t="n"/>
      <c r="AD238" s="69" t="n"/>
      <c r="AE238" s="69" t="n"/>
      <c r="AF238" s="73" t="n"/>
      <c r="AG238" s="69" t="n"/>
      <c r="AH238" s="85" t="n"/>
    </row>
    <row r="239">
      <c r="A239" s="82" t="n">
        <v>274</v>
      </c>
      <c r="B239" s="75" t="n">
        <v>81896666</v>
      </c>
      <c r="C239" s="62" t="inlineStr">
        <is>
          <t>TA25AWR053</t>
        </is>
      </c>
      <c r="D239" s="62" t="inlineStr">
        <is>
          <t>Urea</t>
        </is>
      </c>
      <c r="E239" s="62" t="inlineStr">
        <is>
          <t>Unit 39</t>
        </is>
      </c>
      <c r="F239" s="62" t="inlineStr">
        <is>
          <t>GLOBE VALVE</t>
        </is>
      </c>
      <c r="G239" s="62" t="inlineStr">
        <is>
          <t>PK VALVE</t>
        </is>
      </c>
      <c r="H239" s="69" t="n"/>
      <c r="I239" s="69" t="n"/>
      <c r="J239" s="129" t="inlineStr">
        <is>
          <t>M237-12GBV-3901</t>
        </is>
      </c>
      <c r="K239" s="69" t="n"/>
      <c r="L239" s="69" t="n"/>
      <c r="M239" s="62" t="inlineStr">
        <is>
          <t>Valve Packing Replacement</t>
        </is>
      </c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2" t="n">
        <v>12</v>
      </c>
      <c r="X239" s="62" t="n">
        <v>12</v>
      </c>
      <c r="Y239" s="456" t="n"/>
      <c r="Z239" s="69" t="n"/>
      <c r="AA239" s="62" t="n">
        <v>300</v>
      </c>
      <c r="AB239" s="62" t="n">
        <v>300</v>
      </c>
      <c r="AC239" s="73" t="n"/>
      <c r="AD239" s="69" t="n"/>
      <c r="AE239" s="69" t="n"/>
      <c r="AF239" s="73" t="n"/>
      <c r="AG239" s="69" t="n"/>
      <c r="AH239" s="85" t="n"/>
    </row>
    <row r="240">
      <c r="A240" s="82" t="n">
        <v>275</v>
      </c>
      <c r="B240" s="75" t="n">
        <v>81896667</v>
      </c>
      <c r="C240" s="62" t="inlineStr">
        <is>
          <t>TA25AWR053</t>
        </is>
      </c>
      <c r="D240" s="62" t="inlineStr">
        <is>
          <t>Urea</t>
        </is>
      </c>
      <c r="E240" s="62" t="inlineStr">
        <is>
          <t>Unit 39</t>
        </is>
      </c>
      <c r="F240" s="62" t="inlineStr">
        <is>
          <t>GLOBE VALVE</t>
        </is>
      </c>
      <c r="G240" s="62" t="inlineStr">
        <is>
          <t>PK VALVE</t>
        </is>
      </c>
      <c r="H240" s="69" t="n"/>
      <c r="I240" s="69" t="n"/>
      <c r="J240" s="129" t="inlineStr">
        <is>
          <t>M237-4GBV-3901</t>
        </is>
      </c>
      <c r="K240" s="69" t="n"/>
      <c r="L240" s="69" t="n"/>
      <c r="M240" s="62" t="inlineStr">
        <is>
          <t>Valve Packing Replacement</t>
        </is>
      </c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2" t="n">
        <v>4</v>
      </c>
      <c r="X240" s="62" t="n">
        <v>4</v>
      </c>
      <c r="Y240" s="456" t="n"/>
      <c r="Z240" s="69" t="n"/>
      <c r="AA240" s="62" t="n">
        <v>300</v>
      </c>
      <c r="AB240" s="62" t="n">
        <v>300</v>
      </c>
      <c r="AC240" s="73" t="n"/>
      <c r="AD240" s="69" t="n"/>
      <c r="AE240" s="69" t="n"/>
      <c r="AF240" s="73" t="n"/>
      <c r="AG240" s="69" t="n"/>
      <c r="AH240" s="85" t="n"/>
    </row>
    <row r="241">
      <c r="A241" s="82" t="n">
        <v>276</v>
      </c>
      <c r="B241" s="75" t="n">
        <v>81896668</v>
      </c>
      <c r="C241" s="62" t="inlineStr">
        <is>
          <t>TA25AWR053</t>
        </is>
      </c>
      <c r="D241" s="62" t="inlineStr">
        <is>
          <t>Urea</t>
        </is>
      </c>
      <c r="E241" s="62" t="inlineStr">
        <is>
          <t>Unit 39</t>
        </is>
      </c>
      <c r="F241" s="62" t="inlineStr">
        <is>
          <t>GLOBE VALVE</t>
        </is>
      </c>
      <c r="G241" s="62" t="inlineStr">
        <is>
          <t>PK VALVE</t>
        </is>
      </c>
      <c r="H241" s="69" t="n"/>
      <c r="I241" s="69" t="n"/>
      <c r="J241" s="129" t="inlineStr">
        <is>
          <t>M237-4GBV-3902</t>
        </is>
      </c>
      <c r="K241" s="69" t="n"/>
      <c r="L241" s="69" t="n"/>
      <c r="M241" s="62" t="inlineStr">
        <is>
          <t>Valve Packing Replacement</t>
        </is>
      </c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2" t="n">
        <v>4</v>
      </c>
      <c r="X241" s="62" t="n">
        <v>4</v>
      </c>
      <c r="Y241" s="456" t="n"/>
      <c r="Z241" s="69" t="n"/>
      <c r="AA241" s="62" t="n">
        <v>300</v>
      </c>
      <c r="AB241" s="62" t="n">
        <v>300</v>
      </c>
      <c r="AC241" s="73" t="n"/>
      <c r="AD241" s="69" t="n"/>
      <c r="AE241" s="69" t="n"/>
      <c r="AF241" s="73" t="n"/>
      <c r="AG241" s="69" t="n"/>
      <c r="AH241" s="85" t="n"/>
    </row>
    <row r="242">
      <c r="A242" s="82" t="n">
        <v>277</v>
      </c>
      <c r="B242" s="75" t="n">
        <v>81896669</v>
      </c>
      <c r="C242" s="62" t="inlineStr">
        <is>
          <t>TA25AWR053</t>
        </is>
      </c>
      <c r="D242" s="62" t="inlineStr">
        <is>
          <t>Urea</t>
        </is>
      </c>
      <c r="E242" s="62" t="inlineStr">
        <is>
          <t>Unit 39</t>
        </is>
      </c>
      <c r="F242" s="62" t="inlineStr">
        <is>
          <t>GLOBE VALVE</t>
        </is>
      </c>
      <c r="G242" s="62" t="inlineStr">
        <is>
          <t>PK VALVE</t>
        </is>
      </c>
      <c r="H242" s="69" t="n"/>
      <c r="I242" s="69" t="n"/>
      <c r="J242" s="129" t="inlineStr">
        <is>
          <t>M237-4GBV-3903</t>
        </is>
      </c>
      <c r="K242" s="69" t="n"/>
      <c r="L242" s="69" t="n"/>
      <c r="M242" s="62" t="inlineStr">
        <is>
          <t>Valve Packing Replacement</t>
        </is>
      </c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2" t="n">
        <v>4</v>
      </c>
      <c r="X242" s="62" t="n">
        <v>4</v>
      </c>
      <c r="Y242" s="456" t="n"/>
      <c r="Z242" s="69" t="n"/>
      <c r="AA242" s="62" t="n">
        <v>300</v>
      </c>
      <c r="AB242" s="62" t="n">
        <v>300</v>
      </c>
      <c r="AC242" s="73" t="n"/>
      <c r="AD242" s="69" t="n"/>
      <c r="AE242" s="69" t="n"/>
      <c r="AF242" s="73" t="n"/>
      <c r="AG242" s="69" t="n"/>
      <c r="AH242" s="85" t="n"/>
    </row>
    <row r="243">
      <c r="A243" s="82" t="n">
        <v>278</v>
      </c>
      <c r="B243" s="75" t="n">
        <v>81896670</v>
      </c>
      <c r="C243" s="62" t="inlineStr">
        <is>
          <t>TA25AWR053</t>
        </is>
      </c>
      <c r="D243" s="62" t="inlineStr">
        <is>
          <t>Urea</t>
        </is>
      </c>
      <c r="E243" s="62" t="inlineStr">
        <is>
          <t>Unit 39</t>
        </is>
      </c>
      <c r="F243" s="62" t="inlineStr">
        <is>
          <t>GLOBE VALVE</t>
        </is>
      </c>
      <c r="G243" s="62" t="inlineStr">
        <is>
          <t>PK VALVE</t>
        </is>
      </c>
      <c r="H243" s="69" t="n"/>
      <c r="I243" s="69" t="n"/>
      <c r="J243" s="129" t="inlineStr">
        <is>
          <t>M237-4GBV-3904</t>
        </is>
      </c>
      <c r="K243" s="69" t="n"/>
      <c r="L243" s="69" t="n"/>
      <c r="M243" s="62" t="inlineStr">
        <is>
          <t>Valve Packing Replacement</t>
        </is>
      </c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2" t="n">
        <v>4</v>
      </c>
      <c r="X243" s="62" t="n">
        <v>4</v>
      </c>
      <c r="Y243" s="456" t="n"/>
      <c r="Z243" s="69" t="n"/>
      <c r="AA243" s="62" t="n">
        <v>300</v>
      </c>
      <c r="AB243" s="62" t="n">
        <v>300</v>
      </c>
      <c r="AC243" s="73" t="n"/>
      <c r="AD243" s="69" t="n"/>
      <c r="AE243" s="69" t="n"/>
      <c r="AF243" s="73" t="n"/>
      <c r="AG243" s="69" t="n"/>
      <c r="AH243" s="85" t="n"/>
    </row>
    <row r="244">
      <c r="A244" s="82" t="n">
        <v>279</v>
      </c>
      <c r="B244" s="75" t="n">
        <v>81896671</v>
      </c>
      <c r="C244" s="62" t="inlineStr">
        <is>
          <t>TA25AWR053</t>
        </is>
      </c>
      <c r="D244" s="62" t="inlineStr">
        <is>
          <t>Urea</t>
        </is>
      </c>
      <c r="E244" s="62" t="inlineStr">
        <is>
          <t>Unit 39</t>
        </is>
      </c>
      <c r="F244" s="62" t="inlineStr">
        <is>
          <t>GATE VALVE</t>
        </is>
      </c>
      <c r="G244" s="62" t="inlineStr">
        <is>
          <t>PK VALVE</t>
        </is>
      </c>
      <c r="H244" s="69" t="n"/>
      <c r="I244" s="69" t="n"/>
      <c r="J244" s="129" t="inlineStr">
        <is>
          <t>M237-8GTV-3901</t>
        </is>
      </c>
      <c r="K244" s="69" t="n"/>
      <c r="L244" s="69" t="n"/>
      <c r="M244" s="62" t="inlineStr">
        <is>
          <t>Valve Packing Replacement</t>
        </is>
      </c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2" t="n">
        <v>8</v>
      </c>
      <c r="X244" s="62" t="n">
        <v>8</v>
      </c>
      <c r="Y244" s="456" t="n"/>
      <c r="Z244" s="69" t="n"/>
      <c r="AA244" s="62" t="n">
        <v>150</v>
      </c>
      <c r="AB244" s="62" t="n">
        <v>150</v>
      </c>
      <c r="AC244" s="73" t="n"/>
      <c r="AD244" s="69" t="n"/>
      <c r="AE244" s="69" t="n"/>
      <c r="AF244" s="73" t="n"/>
      <c r="AG244" s="69" t="n"/>
      <c r="AH244" s="85" t="n"/>
    </row>
    <row r="245">
      <c r="A245" s="82" t="n">
        <v>280</v>
      </c>
      <c r="B245" s="75" t="n">
        <v>81896672</v>
      </c>
      <c r="C245" s="62" t="inlineStr">
        <is>
          <t>TA25AWR053</t>
        </is>
      </c>
      <c r="D245" s="62" t="inlineStr">
        <is>
          <t>Urea</t>
        </is>
      </c>
      <c r="E245" s="62" t="inlineStr">
        <is>
          <t>Unit 39</t>
        </is>
      </c>
      <c r="F245" s="62" t="inlineStr">
        <is>
          <t>GATE VALVE</t>
        </is>
      </c>
      <c r="G245" s="62" t="inlineStr">
        <is>
          <t>PK VALVE</t>
        </is>
      </c>
      <c r="H245" s="69" t="n"/>
      <c r="I245" s="69" t="n"/>
      <c r="J245" s="129" t="inlineStr">
        <is>
          <t>M237-6GTV-3901</t>
        </is>
      </c>
      <c r="K245" s="69" t="n"/>
      <c r="L245" s="69" t="n"/>
      <c r="M245" s="62" t="inlineStr">
        <is>
          <t>Valve Packing Replacement</t>
        </is>
      </c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2" t="n">
        <v>8</v>
      </c>
      <c r="X245" s="62" t="n">
        <v>8</v>
      </c>
      <c r="Y245" s="456" t="n"/>
      <c r="Z245" s="69" t="n"/>
      <c r="AA245" s="62" t="n">
        <v>150</v>
      </c>
      <c r="AB245" s="62" t="n">
        <v>150</v>
      </c>
      <c r="AC245" s="73" t="n"/>
      <c r="AD245" s="69" t="n"/>
      <c r="AE245" s="69" t="n"/>
      <c r="AF245" s="73" t="n"/>
      <c r="AG245" s="69" t="n"/>
      <c r="AH245" s="85" t="n"/>
    </row>
    <row r="246">
      <c r="A246" s="82" t="n">
        <v>281</v>
      </c>
      <c r="B246" s="75" t="n">
        <v>81896673</v>
      </c>
      <c r="C246" s="62" t="inlineStr">
        <is>
          <t>TA25AWR053</t>
        </is>
      </c>
      <c r="D246" s="62" t="inlineStr">
        <is>
          <t>Urea</t>
        </is>
      </c>
      <c r="E246" s="62" t="inlineStr">
        <is>
          <t>Unit 39</t>
        </is>
      </c>
      <c r="F246" s="62" t="inlineStr">
        <is>
          <t>GATE VALVE</t>
        </is>
      </c>
      <c r="G246" s="62" t="inlineStr">
        <is>
          <t>PK VALVE</t>
        </is>
      </c>
      <c r="H246" s="69" t="n"/>
      <c r="I246" s="69" t="n"/>
      <c r="J246" s="129" t="inlineStr">
        <is>
          <t>M237-6GTV-3902</t>
        </is>
      </c>
      <c r="K246" s="69" t="n"/>
      <c r="L246" s="69" t="n"/>
      <c r="M246" s="62" t="inlineStr">
        <is>
          <t>Valve Packing Replacement</t>
        </is>
      </c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2" t="n">
        <v>6</v>
      </c>
      <c r="X246" s="62" t="n">
        <v>6</v>
      </c>
      <c r="Y246" s="456" t="n"/>
      <c r="Z246" s="69" t="n"/>
      <c r="AA246" s="62" t="n">
        <v>150</v>
      </c>
      <c r="AB246" s="62" t="n">
        <v>150</v>
      </c>
      <c r="AC246" s="73" t="n"/>
      <c r="AD246" s="69" t="n"/>
      <c r="AE246" s="69" t="n"/>
      <c r="AF246" s="73" t="n"/>
      <c r="AG246" s="69" t="n"/>
      <c r="AH246" s="85" t="n"/>
    </row>
    <row r="247">
      <c r="A247" s="82" t="n">
        <v>282</v>
      </c>
      <c r="B247" s="75" t="n">
        <v>81896674</v>
      </c>
      <c r="C247" s="62" t="inlineStr">
        <is>
          <t>TA25AWR053</t>
        </is>
      </c>
      <c r="D247" s="62" t="inlineStr">
        <is>
          <t>Urea</t>
        </is>
      </c>
      <c r="E247" s="62" t="inlineStr">
        <is>
          <t>Unit 39</t>
        </is>
      </c>
      <c r="F247" s="62" t="inlineStr">
        <is>
          <t>GATE VALVE</t>
        </is>
      </c>
      <c r="G247" s="62" t="inlineStr">
        <is>
          <t>PK VALVE</t>
        </is>
      </c>
      <c r="H247" s="69" t="n"/>
      <c r="I247" s="69" t="n"/>
      <c r="J247" s="129" t="inlineStr">
        <is>
          <t>M237-6GTV-3903</t>
        </is>
      </c>
      <c r="K247" s="69" t="n"/>
      <c r="L247" s="69" t="n"/>
      <c r="M247" s="62" t="inlineStr">
        <is>
          <t>Valve Packing Replacement</t>
        </is>
      </c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2" t="n">
        <v>6</v>
      </c>
      <c r="X247" s="62" t="n">
        <v>6</v>
      </c>
      <c r="Y247" s="456" t="n"/>
      <c r="Z247" s="69" t="n"/>
      <c r="AA247" s="62" t="n">
        <v>150</v>
      </c>
      <c r="AB247" s="62" t="n">
        <v>150</v>
      </c>
      <c r="AC247" s="73" t="n"/>
      <c r="AD247" s="69" t="n"/>
      <c r="AE247" s="69" t="n"/>
      <c r="AF247" s="73" t="n"/>
      <c r="AG247" s="69" t="n"/>
      <c r="AH247" s="85" t="n"/>
    </row>
    <row r="248">
      <c r="A248" s="82" t="n">
        <v>283</v>
      </c>
      <c r="B248" s="75" t="n">
        <v>81896675</v>
      </c>
      <c r="C248" s="62" t="inlineStr">
        <is>
          <t>TA25AWR053</t>
        </is>
      </c>
      <c r="D248" s="62" t="inlineStr">
        <is>
          <t>Urea</t>
        </is>
      </c>
      <c r="E248" s="62" t="inlineStr">
        <is>
          <t>Unit 39</t>
        </is>
      </c>
      <c r="F248" s="62" t="inlineStr">
        <is>
          <t>GLOBE VALVE</t>
        </is>
      </c>
      <c r="G248" s="62" t="inlineStr">
        <is>
          <t>PK VALVE</t>
        </is>
      </c>
      <c r="H248" s="69" t="n"/>
      <c r="I248" s="69" t="n"/>
      <c r="J248" s="129" t="inlineStr">
        <is>
          <t>M237-4GBV-3906</t>
        </is>
      </c>
      <c r="K248" s="69" t="n"/>
      <c r="L248" s="69" t="n"/>
      <c r="M248" s="62" t="inlineStr">
        <is>
          <t>Valve Packing Replacement</t>
        </is>
      </c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2" t="n">
        <v>4</v>
      </c>
      <c r="X248" s="62" t="n">
        <v>4</v>
      </c>
      <c r="Y248" s="456" t="n"/>
      <c r="Z248" s="69" t="n"/>
      <c r="AA248" s="62" t="n">
        <v>150</v>
      </c>
      <c r="AB248" s="62" t="n">
        <v>150</v>
      </c>
      <c r="AC248" s="73" t="n"/>
      <c r="AD248" s="69" t="n"/>
      <c r="AE248" s="69" t="n"/>
      <c r="AF248" s="73" t="n"/>
      <c r="AG248" s="69" t="n"/>
      <c r="AH248" s="85" t="n"/>
    </row>
    <row r="249">
      <c r="A249" s="82" t="n">
        <v>284</v>
      </c>
      <c r="B249" s="75" t="n">
        <v>81896676</v>
      </c>
      <c r="C249" s="62" t="inlineStr">
        <is>
          <t>TA25AWR053</t>
        </is>
      </c>
      <c r="D249" s="62" t="inlineStr">
        <is>
          <t>Urea</t>
        </is>
      </c>
      <c r="E249" s="62" t="inlineStr">
        <is>
          <t>Unit 53</t>
        </is>
      </c>
      <c r="F249" s="62" t="inlineStr">
        <is>
          <t>GATE VALVE</t>
        </is>
      </c>
      <c r="G249" s="62" t="inlineStr">
        <is>
          <t>PK VALVE</t>
        </is>
      </c>
      <c r="H249" s="69" t="n"/>
      <c r="I249" s="69" t="n"/>
      <c r="J249" s="129" t="inlineStr">
        <is>
          <t>M237-14GTV-5303</t>
        </is>
      </c>
      <c r="K249" s="69" t="n"/>
      <c r="L249" s="69" t="n"/>
      <c r="M249" s="62" t="inlineStr">
        <is>
          <t>Valve Packing Replacement</t>
        </is>
      </c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2" t="n">
        <v>14</v>
      </c>
      <c r="X249" s="62" t="n">
        <v>14</v>
      </c>
      <c r="Y249" s="456" t="n"/>
      <c r="Z249" s="69" t="n"/>
      <c r="AA249" s="62" t="n">
        <v>150</v>
      </c>
      <c r="AB249" s="62" t="n">
        <v>150</v>
      </c>
      <c r="AC249" s="73" t="n"/>
      <c r="AD249" s="69" t="n"/>
      <c r="AE249" s="69" t="n"/>
      <c r="AF249" s="73" t="n"/>
      <c r="AG249" s="69" t="n"/>
      <c r="AH249" s="85" t="n"/>
    </row>
    <row r="250">
      <c r="A250" s="82" t="n">
        <v>285</v>
      </c>
      <c r="B250" s="75" t="n">
        <v>81896677</v>
      </c>
      <c r="C250" s="62" t="inlineStr">
        <is>
          <t>TA25AWR053</t>
        </is>
      </c>
      <c r="D250" s="62" t="inlineStr">
        <is>
          <t>Urea</t>
        </is>
      </c>
      <c r="E250" s="62" t="inlineStr">
        <is>
          <t>Unit 53</t>
        </is>
      </c>
      <c r="F250" s="62" t="inlineStr">
        <is>
          <t>GATE VALVE</t>
        </is>
      </c>
      <c r="G250" s="62" t="inlineStr">
        <is>
          <t>PK VALVE</t>
        </is>
      </c>
      <c r="H250" s="69" t="n"/>
      <c r="I250" s="69" t="n"/>
      <c r="J250" s="129" t="inlineStr">
        <is>
          <t>M237-14GTV-5304</t>
        </is>
      </c>
      <c r="K250" s="69" t="n"/>
      <c r="L250" s="69" t="n"/>
      <c r="M250" s="62" t="inlineStr">
        <is>
          <t>Valve Packing Replacement</t>
        </is>
      </c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2" t="n">
        <v>14</v>
      </c>
      <c r="X250" s="62" t="n">
        <v>14</v>
      </c>
      <c r="Y250" s="456" t="n"/>
      <c r="Z250" s="69" t="n"/>
      <c r="AA250" s="62" t="n">
        <v>150</v>
      </c>
      <c r="AB250" s="62" t="n">
        <v>150</v>
      </c>
      <c r="AC250" s="73" t="n"/>
      <c r="AD250" s="69" t="n"/>
      <c r="AE250" s="69" t="n"/>
      <c r="AF250" s="73" t="n"/>
      <c r="AG250" s="69" t="n"/>
      <c r="AH250" s="85" t="n"/>
    </row>
    <row r="251">
      <c r="A251" s="82" t="n">
        <v>286</v>
      </c>
      <c r="B251" s="75" t="n">
        <v>81896678</v>
      </c>
      <c r="C251" s="62" t="inlineStr">
        <is>
          <t>TA25AWR053</t>
        </is>
      </c>
      <c r="D251" s="62" t="inlineStr">
        <is>
          <t>Urea</t>
        </is>
      </c>
      <c r="E251" s="62" t="inlineStr">
        <is>
          <t>Unit 53</t>
        </is>
      </c>
      <c r="F251" s="62" t="inlineStr">
        <is>
          <t>GLOBE VALVE</t>
        </is>
      </c>
      <c r="G251" s="62" t="inlineStr">
        <is>
          <t>PK VALVE</t>
        </is>
      </c>
      <c r="H251" s="69" t="n"/>
      <c r="I251" s="69" t="n"/>
      <c r="J251" s="129" t="inlineStr">
        <is>
          <t>M237-14GBV-5301</t>
        </is>
      </c>
      <c r="K251" s="69" t="n"/>
      <c r="L251" s="69" t="n"/>
      <c r="M251" s="62" t="inlineStr">
        <is>
          <t>Valve Packing Replacement</t>
        </is>
      </c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2" t="n">
        <v>14</v>
      </c>
      <c r="X251" s="62" t="n">
        <v>14</v>
      </c>
      <c r="Y251" s="456" t="n"/>
      <c r="Z251" s="69" t="n"/>
      <c r="AA251" s="62" t="n">
        <v>150</v>
      </c>
      <c r="AB251" s="62" t="n">
        <v>150</v>
      </c>
      <c r="AC251" s="73" t="n"/>
      <c r="AD251" s="69" t="n"/>
      <c r="AE251" s="69" t="n"/>
      <c r="AF251" s="73" t="n"/>
      <c r="AG251" s="69" t="n"/>
      <c r="AH251" s="85" t="n"/>
    </row>
    <row r="252">
      <c r="A252" s="82" t="n">
        <v>287</v>
      </c>
      <c r="B252" s="75" t="n">
        <v>81896679</v>
      </c>
      <c r="C252" s="62" t="inlineStr">
        <is>
          <t>TA25AWR053</t>
        </is>
      </c>
      <c r="D252" s="62" t="inlineStr">
        <is>
          <t>Urea</t>
        </is>
      </c>
      <c r="E252" s="62" t="inlineStr">
        <is>
          <t>Unit 53</t>
        </is>
      </c>
      <c r="F252" s="62" t="inlineStr">
        <is>
          <t>GATE VALVE</t>
        </is>
      </c>
      <c r="G252" s="62" t="inlineStr">
        <is>
          <t>PK VALVE</t>
        </is>
      </c>
      <c r="H252" s="69" t="n"/>
      <c r="I252" s="69" t="n"/>
      <c r="J252" s="129" t="inlineStr">
        <is>
          <t>M237-8GTV-5305</t>
        </is>
      </c>
      <c r="K252" s="69" t="n"/>
      <c r="L252" s="69" t="n"/>
      <c r="M252" s="62" t="inlineStr">
        <is>
          <t>Valve Packing Replacement</t>
        </is>
      </c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2" t="n">
        <v>8</v>
      </c>
      <c r="X252" s="62" t="n">
        <v>8</v>
      </c>
      <c r="Y252" s="456" t="n"/>
      <c r="Z252" s="69" t="n"/>
      <c r="AA252" s="62" t="n">
        <v>300</v>
      </c>
      <c r="AB252" s="62" t="n">
        <v>300</v>
      </c>
      <c r="AC252" s="73" t="n"/>
      <c r="AD252" s="69" t="n"/>
      <c r="AE252" s="69" t="n"/>
      <c r="AF252" s="73" t="n"/>
      <c r="AG252" s="69" t="n"/>
      <c r="AH252" s="85" t="n"/>
    </row>
    <row r="253">
      <c r="A253" s="82" t="n">
        <v>288</v>
      </c>
      <c r="B253" s="75" t="n">
        <v>81896680</v>
      </c>
      <c r="C253" s="62" t="inlineStr">
        <is>
          <t>TA25AWR053</t>
        </is>
      </c>
      <c r="D253" s="62" t="inlineStr">
        <is>
          <t>Urea</t>
        </is>
      </c>
      <c r="E253" s="62" t="inlineStr">
        <is>
          <t>Unit 53</t>
        </is>
      </c>
      <c r="F253" s="62" t="inlineStr">
        <is>
          <t>GATE VALVE</t>
        </is>
      </c>
      <c r="G253" s="62" t="inlineStr">
        <is>
          <t>PK VALVE</t>
        </is>
      </c>
      <c r="H253" s="69" t="n"/>
      <c r="I253" s="69" t="n"/>
      <c r="J253" s="129" t="inlineStr">
        <is>
          <t>M237-8GTV-5306</t>
        </is>
      </c>
      <c r="K253" s="69" t="n"/>
      <c r="L253" s="69" t="n"/>
      <c r="M253" s="62" t="inlineStr">
        <is>
          <t>Valve Packing Replacement</t>
        </is>
      </c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2" t="n">
        <v>8</v>
      </c>
      <c r="X253" s="62" t="n">
        <v>8</v>
      </c>
      <c r="Y253" s="456" t="n"/>
      <c r="Z253" s="69" t="n"/>
      <c r="AA253" s="62" t="n">
        <v>300</v>
      </c>
      <c r="AB253" s="62" t="n">
        <v>300</v>
      </c>
      <c r="AC253" s="73" t="n"/>
      <c r="AD253" s="69" t="n"/>
      <c r="AE253" s="69" t="n"/>
      <c r="AF253" s="73" t="n"/>
      <c r="AG253" s="69" t="n"/>
      <c r="AH253" s="85" t="n"/>
    </row>
    <row r="254">
      <c r="A254" s="82" t="n">
        <v>289</v>
      </c>
      <c r="B254" s="75" t="n">
        <v>81896681</v>
      </c>
      <c r="C254" s="62" t="inlineStr">
        <is>
          <t>TA25AWR053</t>
        </is>
      </c>
      <c r="D254" s="62" t="inlineStr">
        <is>
          <t>Urea</t>
        </is>
      </c>
      <c r="E254" s="62" t="inlineStr">
        <is>
          <t>Unit 53</t>
        </is>
      </c>
      <c r="F254" s="62" t="inlineStr">
        <is>
          <t>GLOBE VALVE</t>
        </is>
      </c>
      <c r="G254" s="62" t="inlineStr">
        <is>
          <t>PK VALVE</t>
        </is>
      </c>
      <c r="H254" s="69" t="n"/>
      <c r="I254" s="69" t="n"/>
      <c r="J254" s="129" t="inlineStr">
        <is>
          <t>M237-8GBV-5303</t>
        </is>
      </c>
      <c r="K254" s="69" t="n"/>
      <c r="L254" s="69" t="n"/>
      <c r="M254" s="62" t="inlineStr">
        <is>
          <t>Valve Packing Replacement</t>
        </is>
      </c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2" t="n">
        <v>8</v>
      </c>
      <c r="X254" s="62" t="n">
        <v>8</v>
      </c>
      <c r="Y254" s="456" t="n"/>
      <c r="Z254" s="69" t="n"/>
      <c r="AA254" s="62" t="n">
        <v>300</v>
      </c>
      <c r="AB254" s="62" t="n">
        <v>300</v>
      </c>
      <c r="AC254" s="73" t="n"/>
      <c r="AD254" s="69" t="n"/>
      <c r="AE254" s="69" t="n"/>
      <c r="AF254" s="73" t="n"/>
      <c r="AG254" s="69" t="n"/>
      <c r="AH254" s="85" t="n"/>
    </row>
    <row r="255">
      <c r="A255" s="82" t="n">
        <v>290</v>
      </c>
      <c r="B255" s="75" t="n">
        <v>81896682</v>
      </c>
      <c r="C255" s="62" t="inlineStr">
        <is>
          <t>TA25AWR053</t>
        </is>
      </c>
      <c r="D255" s="62" t="inlineStr">
        <is>
          <t>Urea</t>
        </is>
      </c>
      <c r="E255" s="62" t="inlineStr">
        <is>
          <t>Unit 53</t>
        </is>
      </c>
      <c r="F255" s="62" t="inlineStr">
        <is>
          <t>GATE VALVE</t>
        </is>
      </c>
      <c r="G255" s="62" t="inlineStr">
        <is>
          <t>PK VALVE</t>
        </is>
      </c>
      <c r="H255" s="69" t="n"/>
      <c r="I255" s="69" t="n"/>
      <c r="J255" s="129" t="inlineStr">
        <is>
          <t>M237-14GTV-5301</t>
        </is>
      </c>
      <c r="K255" s="69" t="n"/>
      <c r="L255" s="69" t="n"/>
      <c r="M255" s="62" t="inlineStr">
        <is>
          <t>Valve Packing Replacement</t>
        </is>
      </c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2" t="n">
        <v>14</v>
      </c>
      <c r="X255" s="62" t="n">
        <v>14</v>
      </c>
      <c r="Y255" s="456" t="n"/>
      <c r="Z255" s="69" t="n"/>
      <c r="AA255" s="62" t="n">
        <v>300</v>
      </c>
      <c r="AB255" s="62" t="n">
        <v>300</v>
      </c>
      <c r="AC255" s="73" t="n"/>
      <c r="AD255" s="69" t="n"/>
      <c r="AE255" s="69" t="n"/>
      <c r="AF255" s="73" t="n"/>
      <c r="AG255" s="69" t="n"/>
      <c r="AH255" s="85" t="n"/>
    </row>
    <row r="256">
      <c r="A256" s="82" t="n">
        <v>291</v>
      </c>
      <c r="B256" s="75" t="n">
        <v>81896683</v>
      </c>
      <c r="C256" s="62" t="inlineStr">
        <is>
          <t>TA25AWR053</t>
        </is>
      </c>
      <c r="D256" s="62" t="inlineStr">
        <is>
          <t>Urea</t>
        </is>
      </c>
      <c r="E256" s="62" t="inlineStr">
        <is>
          <t>Unit 53</t>
        </is>
      </c>
      <c r="F256" s="62" t="inlineStr">
        <is>
          <t>GATE VALVE</t>
        </is>
      </c>
      <c r="G256" s="62" t="inlineStr">
        <is>
          <t>PK VALVE</t>
        </is>
      </c>
      <c r="H256" s="69" t="n"/>
      <c r="I256" s="69" t="n"/>
      <c r="J256" s="129" t="inlineStr">
        <is>
          <t>M237-14GTV-5302</t>
        </is>
      </c>
      <c r="K256" s="69" t="n"/>
      <c r="L256" s="69" t="n"/>
      <c r="M256" s="62" t="inlineStr">
        <is>
          <t>Valve Packing Replacement</t>
        </is>
      </c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2" t="n">
        <v>14</v>
      </c>
      <c r="X256" s="62" t="n">
        <v>14</v>
      </c>
      <c r="Y256" s="456" t="n"/>
      <c r="Z256" s="69" t="n"/>
      <c r="AA256" s="62" t="n">
        <v>300</v>
      </c>
      <c r="AB256" s="62" t="n">
        <v>300</v>
      </c>
      <c r="AC256" s="73" t="n"/>
      <c r="AD256" s="69" t="n"/>
      <c r="AE256" s="69" t="n"/>
      <c r="AF256" s="73" t="n"/>
      <c r="AG256" s="69" t="n"/>
      <c r="AH256" s="85" t="n"/>
    </row>
    <row r="257">
      <c r="A257" s="82" t="n">
        <v>292</v>
      </c>
      <c r="B257" s="75" t="n">
        <v>81896684</v>
      </c>
      <c r="C257" s="62" t="inlineStr">
        <is>
          <t>TA25AWR053</t>
        </is>
      </c>
      <c r="D257" s="62" t="inlineStr">
        <is>
          <t>Urea</t>
        </is>
      </c>
      <c r="E257" s="62" t="inlineStr">
        <is>
          <t>Unit 53</t>
        </is>
      </c>
      <c r="F257" s="62" t="inlineStr">
        <is>
          <t>GLOBE VALVE</t>
        </is>
      </c>
      <c r="G257" s="62" t="inlineStr">
        <is>
          <t>PK VALVE</t>
        </is>
      </c>
      <c r="H257" s="69" t="n"/>
      <c r="I257" s="69" t="n"/>
      <c r="J257" s="129" t="inlineStr">
        <is>
          <t>M237-12GBV-5301</t>
        </is>
      </c>
      <c r="K257" s="69" t="n"/>
      <c r="L257" s="69" t="n"/>
      <c r="M257" s="62" t="inlineStr">
        <is>
          <t>Valve Packing Replacement</t>
        </is>
      </c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2" t="n">
        <v>12</v>
      </c>
      <c r="X257" s="62" t="n">
        <v>12</v>
      </c>
      <c r="Y257" s="456" t="n"/>
      <c r="Z257" s="69" t="n"/>
      <c r="AA257" s="62" t="n">
        <v>300</v>
      </c>
      <c r="AB257" s="62" t="n">
        <v>300</v>
      </c>
      <c r="AC257" s="73" t="n"/>
      <c r="AD257" s="69" t="n"/>
      <c r="AE257" s="69" t="n"/>
      <c r="AF257" s="73" t="n"/>
      <c r="AG257" s="69" t="n"/>
      <c r="AH257" s="85" t="n"/>
    </row>
    <row r="258">
      <c r="A258" s="82" t="n">
        <v>293</v>
      </c>
      <c r="B258" s="75" t="n">
        <v>81896685</v>
      </c>
      <c r="C258" s="62" t="inlineStr">
        <is>
          <t>TA25AWR053</t>
        </is>
      </c>
      <c r="D258" s="62" t="inlineStr">
        <is>
          <t>Urea</t>
        </is>
      </c>
      <c r="E258" s="62" t="inlineStr">
        <is>
          <t>Unit 33</t>
        </is>
      </c>
      <c r="F258" s="62" t="inlineStr">
        <is>
          <t>GATE VALVE</t>
        </is>
      </c>
      <c r="G258" s="62" t="inlineStr">
        <is>
          <t>PK VALVE</t>
        </is>
      </c>
      <c r="H258" s="69" t="n"/>
      <c r="I258" s="69" t="n"/>
      <c r="J258" s="129" t="inlineStr">
        <is>
          <t>M237-6GTV-5305</t>
        </is>
      </c>
      <c r="K258" s="69" t="n"/>
      <c r="L258" s="69" t="n"/>
      <c r="M258" s="62" t="inlineStr">
        <is>
          <t>Valve Packing Replacement</t>
        </is>
      </c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2" t="n">
        <v>6</v>
      </c>
      <c r="X258" s="62" t="n">
        <v>6</v>
      </c>
      <c r="Y258" s="456" t="n"/>
      <c r="Z258" s="69" t="n"/>
      <c r="AA258" s="62" t="n">
        <v>300</v>
      </c>
      <c r="AB258" s="62" t="n">
        <v>300</v>
      </c>
      <c r="AC258" s="73" t="n"/>
      <c r="AD258" s="69" t="n"/>
      <c r="AE258" s="69" t="n"/>
      <c r="AF258" s="73" t="n"/>
      <c r="AG258" s="69" t="n"/>
      <c r="AH258" s="85" t="n"/>
    </row>
    <row r="259">
      <c r="A259" s="82" t="n">
        <v>294</v>
      </c>
      <c r="B259" s="75" t="n">
        <v>81896686</v>
      </c>
      <c r="C259" s="62" t="inlineStr">
        <is>
          <t>TA25AWR053</t>
        </is>
      </c>
      <c r="D259" s="62" t="inlineStr">
        <is>
          <t>Urea</t>
        </is>
      </c>
      <c r="E259" s="62" t="inlineStr">
        <is>
          <t>Unit 53</t>
        </is>
      </c>
      <c r="F259" s="62" t="inlineStr">
        <is>
          <t>GATE VALVE</t>
        </is>
      </c>
      <c r="G259" s="62" t="inlineStr">
        <is>
          <t>PK VALVE</t>
        </is>
      </c>
      <c r="H259" s="69" t="n"/>
      <c r="I259" s="69" t="n"/>
      <c r="J259" s="129" t="inlineStr">
        <is>
          <t>M237-6GTV-5306</t>
        </is>
      </c>
      <c r="K259" s="69" t="n"/>
      <c r="L259" s="69" t="n"/>
      <c r="M259" s="62" t="inlineStr">
        <is>
          <t>Valve Packing Replacement</t>
        </is>
      </c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2" t="n">
        <v>6</v>
      </c>
      <c r="X259" s="62" t="n">
        <v>6</v>
      </c>
      <c r="Y259" s="456" t="n"/>
      <c r="Z259" s="69" t="n"/>
      <c r="AA259" s="62" t="n">
        <v>300</v>
      </c>
      <c r="AB259" s="62" t="n">
        <v>300</v>
      </c>
      <c r="AC259" s="73" t="n"/>
      <c r="AD259" s="69" t="n"/>
      <c r="AE259" s="69" t="n"/>
      <c r="AF259" s="73" t="n"/>
      <c r="AG259" s="69" t="n"/>
      <c r="AH259" s="85" t="n"/>
    </row>
    <row r="260">
      <c r="A260" s="82" t="n">
        <v>295</v>
      </c>
      <c r="B260" s="75" t="n">
        <v>81896687</v>
      </c>
      <c r="C260" s="62" t="inlineStr">
        <is>
          <t>TA25AWR053</t>
        </is>
      </c>
      <c r="D260" s="62" t="inlineStr">
        <is>
          <t>Urea</t>
        </is>
      </c>
      <c r="E260" s="62" t="inlineStr">
        <is>
          <t>Unit 53</t>
        </is>
      </c>
      <c r="F260" s="62" t="inlineStr">
        <is>
          <t>GATE VALVE</t>
        </is>
      </c>
      <c r="G260" s="62" t="inlineStr">
        <is>
          <t>PK VALVE</t>
        </is>
      </c>
      <c r="H260" s="69" t="n"/>
      <c r="I260" s="69" t="n"/>
      <c r="J260" s="129" t="inlineStr">
        <is>
          <t>M237-6GTV-5307</t>
        </is>
      </c>
      <c r="K260" s="69" t="n"/>
      <c r="L260" s="69" t="n"/>
      <c r="M260" s="62" t="inlineStr">
        <is>
          <t>Valve Packing Replacement</t>
        </is>
      </c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2" t="n">
        <v>6</v>
      </c>
      <c r="X260" s="62" t="n">
        <v>6</v>
      </c>
      <c r="Y260" s="456" t="n"/>
      <c r="Z260" s="69" t="n"/>
      <c r="AA260" s="62" t="n">
        <v>300</v>
      </c>
      <c r="AB260" s="62" t="n">
        <v>300</v>
      </c>
      <c r="AC260" s="73" t="n"/>
      <c r="AD260" s="69" t="n"/>
      <c r="AE260" s="69" t="n"/>
      <c r="AF260" s="73" t="n"/>
      <c r="AG260" s="69" t="n"/>
      <c r="AH260" s="85" t="n"/>
    </row>
    <row r="261">
      <c r="A261" s="82" t="n">
        <v>296</v>
      </c>
      <c r="B261" s="75" t="n">
        <v>81896688</v>
      </c>
      <c r="C261" s="62" t="inlineStr">
        <is>
          <t>TA25AWR053</t>
        </is>
      </c>
      <c r="D261" s="62" t="inlineStr">
        <is>
          <t>Urea</t>
        </is>
      </c>
      <c r="E261" s="62" t="inlineStr">
        <is>
          <t>Unit 53</t>
        </is>
      </c>
      <c r="F261" s="62" t="inlineStr">
        <is>
          <t>GLOBE VALVE</t>
        </is>
      </c>
      <c r="G261" s="62" t="inlineStr">
        <is>
          <t>PK VALVE</t>
        </is>
      </c>
      <c r="H261" s="69" t="n"/>
      <c r="I261" s="69" t="n"/>
      <c r="J261" s="129" t="inlineStr">
        <is>
          <t>M237-6GBV-5301</t>
        </is>
      </c>
      <c r="K261" s="69" t="n"/>
      <c r="L261" s="69" t="n"/>
      <c r="M261" s="62" t="inlineStr">
        <is>
          <t>Valve Packing Replacement</t>
        </is>
      </c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2" t="n">
        <v>6</v>
      </c>
      <c r="X261" s="62" t="n">
        <v>6</v>
      </c>
      <c r="Y261" s="456" t="n"/>
      <c r="Z261" s="69" t="n"/>
      <c r="AA261" s="62" t="n">
        <v>150</v>
      </c>
      <c r="AB261" s="62" t="n">
        <v>150</v>
      </c>
      <c r="AC261" s="73" t="n"/>
      <c r="AD261" s="69" t="n"/>
      <c r="AE261" s="69" t="n"/>
      <c r="AF261" s="73" t="n"/>
      <c r="AG261" s="69" t="n"/>
      <c r="AH261" s="85" t="n"/>
    </row>
    <row r="262">
      <c r="A262" s="82" t="n">
        <v>297</v>
      </c>
      <c r="B262" s="75" t="n">
        <v>81896689</v>
      </c>
      <c r="C262" s="62" t="inlineStr">
        <is>
          <t>TA25AWR053</t>
        </is>
      </c>
      <c r="D262" s="62" t="inlineStr">
        <is>
          <t>Urea</t>
        </is>
      </c>
      <c r="E262" s="62" t="inlineStr">
        <is>
          <t>Unit 53</t>
        </is>
      </c>
      <c r="F262" s="62" t="inlineStr">
        <is>
          <t>GATE VALVE</t>
        </is>
      </c>
      <c r="G262" s="62" t="inlineStr">
        <is>
          <t>PK VALVE</t>
        </is>
      </c>
      <c r="H262" s="69" t="n"/>
      <c r="I262" s="69" t="n"/>
      <c r="J262" s="129" t="inlineStr">
        <is>
          <t>M237-8GTV-5307</t>
        </is>
      </c>
      <c r="K262" s="69" t="n"/>
      <c r="L262" s="69" t="n"/>
      <c r="M262" s="62" t="inlineStr">
        <is>
          <t>Valve Packing Replacement</t>
        </is>
      </c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2" t="n">
        <v>8</v>
      </c>
      <c r="X262" s="62" t="n">
        <v>8</v>
      </c>
      <c r="Y262" s="456" t="n"/>
      <c r="Z262" s="69" t="n"/>
      <c r="AA262" s="62" t="n">
        <v>150</v>
      </c>
      <c r="AB262" s="62" t="n">
        <v>150</v>
      </c>
      <c r="AC262" s="73" t="n"/>
      <c r="AD262" s="69" t="n"/>
      <c r="AE262" s="69" t="n"/>
      <c r="AF262" s="73" t="n"/>
      <c r="AG262" s="69" t="n"/>
      <c r="AH262" s="85" t="n"/>
    </row>
    <row r="263">
      <c r="A263" s="82" t="n">
        <v>298</v>
      </c>
      <c r="B263" s="75" t="n">
        <v>81896690</v>
      </c>
      <c r="C263" s="62" t="inlineStr">
        <is>
          <t>TA25AWR053</t>
        </is>
      </c>
      <c r="D263" s="62" t="inlineStr">
        <is>
          <t>Urea</t>
        </is>
      </c>
      <c r="E263" s="62" t="inlineStr">
        <is>
          <t>Unit 53</t>
        </is>
      </c>
      <c r="F263" s="62" t="inlineStr">
        <is>
          <t>GATE VALVE</t>
        </is>
      </c>
      <c r="G263" s="62" t="inlineStr">
        <is>
          <t>PK VALVE</t>
        </is>
      </c>
      <c r="H263" s="69" t="n"/>
      <c r="I263" s="69" t="n"/>
      <c r="J263" s="129" t="inlineStr">
        <is>
          <t>M237-8GTV-5308</t>
        </is>
      </c>
      <c r="K263" s="69" t="n"/>
      <c r="L263" s="69" t="n"/>
      <c r="M263" s="62" t="inlineStr">
        <is>
          <t>Valve Packing Replacement</t>
        </is>
      </c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2" t="n">
        <v>8</v>
      </c>
      <c r="X263" s="62" t="n">
        <v>8</v>
      </c>
      <c r="Y263" s="456" t="n"/>
      <c r="Z263" s="69" t="n"/>
      <c r="AA263" s="62" t="n">
        <v>150</v>
      </c>
      <c r="AB263" s="62" t="n">
        <v>150</v>
      </c>
      <c r="AC263" s="73" t="n"/>
      <c r="AD263" s="69" t="n"/>
      <c r="AE263" s="69" t="n"/>
      <c r="AF263" s="73" t="n"/>
      <c r="AG263" s="69" t="n"/>
      <c r="AH263" s="85" t="n"/>
    </row>
    <row r="264">
      <c r="A264" s="82" t="n">
        <v>299</v>
      </c>
      <c r="B264" s="75" t="n">
        <v>81896691</v>
      </c>
      <c r="C264" s="62" t="inlineStr">
        <is>
          <t>TA25AWR053</t>
        </is>
      </c>
      <c r="D264" s="62" t="inlineStr">
        <is>
          <t>Urea</t>
        </is>
      </c>
      <c r="E264" s="62" t="inlineStr">
        <is>
          <t>Unit 53</t>
        </is>
      </c>
      <c r="F264" s="62" t="inlineStr">
        <is>
          <t>GLOBE VALVE</t>
        </is>
      </c>
      <c r="G264" s="62" t="inlineStr">
        <is>
          <t>PK VALVE</t>
        </is>
      </c>
      <c r="H264" s="69" t="n"/>
      <c r="I264" s="69" t="n"/>
      <c r="J264" s="129" t="inlineStr">
        <is>
          <t>M237-8GBV-5302</t>
        </is>
      </c>
      <c r="K264" s="69" t="n"/>
      <c r="L264" s="69" t="n"/>
      <c r="M264" s="62" t="inlineStr">
        <is>
          <t>Valve Packing Replacement</t>
        </is>
      </c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2" t="n">
        <v>8</v>
      </c>
      <c r="X264" s="62" t="n">
        <v>8</v>
      </c>
      <c r="Y264" s="456" t="n"/>
      <c r="Z264" s="69" t="n"/>
      <c r="AA264" s="62" t="n">
        <v>150</v>
      </c>
      <c r="AB264" s="62" t="n">
        <v>150</v>
      </c>
      <c r="AC264" s="73" t="n"/>
      <c r="AD264" s="69" t="n"/>
      <c r="AE264" s="69" t="n"/>
      <c r="AF264" s="73" t="n"/>
      <c r="AG264" s="69" t="n"/>
      <c r="AH264" s="85" t="n"/>
    </row>
    <row r="265">
      <c r="A265" s="82" t="n">
        <v>300</v>
      </c>
      <c r="B265" s="75" t="n">
        <v>81896692</v>
      </c>
      <c r="C265" s="62" t="inlineStr">
        <is>
          <t>TA25AWR053</t>
        </is>
      </c>
      <c r="D265" s="62" t="inlineStr">
        <is>
          <t>Urea</t>
        </is>
      </c>
      <c r="E265" s="62" t="inlineStr">
        <is>
          <t>Unit 53</t>
        </is>
      </c>
      <c r="F265" s="62" t="inlineStr">
        <is>
          <t>GATE VALVE</t>
        </is>
      </c>
      <c r="G265" s="62" t="inlineStr">
        <is>
          <t>PK VALVE</t>
        </is>
      </c>
      <c r="H265" s="69" t="n"/>
      <c r="I265" s="69" t="n"/>
      <c r="J265" s="129" t="inlineStr">
        <is>
          <t>M237-18GTV-5302</t>
        </is>
      </c>
      <c r="K265" s="69" t="n"/>
      <c r="L265" s="69" t="n"/>
      <c r="M265" s="62" t="inlineStr">
        <is>
          <t>Valve Packing Replacement</t>
        </is>
      </c>
      <c r="N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W265" s="62" t="n">
        <v>18</v>
      </c>
      <c r="X265" s="62" t="n">
        <v>18</v>
      </c>
      <c r="Y265" s="456" t="n"/>
      <c r="Z265" s="69" t="n"/>
      <c r="AA265" s="62" t="n">
        <v>150</v>
      </c>
      <c r="AB265" s="62" t="n">
        <v>150</v>
      </c>
      <c r="AC265" s="73" t="n"/>
      <c r="AD265" s="69" t="n"/>
      <c r="AE265" s="69" t="n"/>
      <c r="AF265" s="73" t="n"/>
      <c r="AG265" s="69" t="n"/>
      <c r="AH265" s="85" t="n"/>
    </row>
    <row r="266">
      <c r="A266" s="82" t="n">
        <v>301</v>
      </c>
      <c r="B266" s="75" t="n">
        <v>81770041</v>
      </c>
      <c r="C266" s="62" t="inlineStr">
        <is>
          <t>TA25AWR056</t>
        </is>
      </c>
      <c r="D266" s="62" t="inlineStr">
        <is>
          <t>Ammonia</t>
        </is>
      </c>
      <c r="E266" s="62" t="inlineStr">
        <is>
          <t>Unit 19</t>
        </is>
      </c>
      <c r="F266" s="62" t="inlineStr">
        <is>
          <t>GATE VALVE</t>
        </is>
      </c>
      <c r="G266" s="62" t="inlineStr">
        <is>
          <t>PK VALVE</t>
        </is>
      </c>
      <c r="H266" s="69" t="n"/>
      <c r="I266" s="69" t="n"/>
      <c r="J266" s="129" t="inlineStr">
        <is>
          <t>M237-6GTV-1906</t>
        </is>
      </c>
      <c r="K266" s="69" t="n"/>
      <c r="L266" s="69" t="n"/>
      <c r="M266" s="62" t="inlineStr">
        <is>
          <t>Valve Packing Replacement</t>
        </is>
      </c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2" t="n">
        <v>6</v>
      </c>
      <c r="X266" s="62" t="n">
        <v>6</v>
      </c>
      <c r="Y266" s="456" t="n"/>
      <c r="Z266" s="69" t="n"/>
      <c r="AA266" s="62" t="n">
        <v>300</v>
      </c>
      <c r="AB266" s="62" t="n">
        <v>300</v>
      </c>
      <c r="AC266" s="73" t="n"/>
      <c r="AD266" s="69" t="n"/>
      <c r="AE266" s="69" t="n"/>
      <c r="AF266" s="73" t="n"/>
      <c r="AG266" s="69" t="n"/>
      <c r="AH266" s="85" t="n"/>
    </row>
    <row r="267">
      <c r="A267" s="82" t="n">
        <v>302</v>
      </c>
      <c r="B267" s="75" t="n">
        <v>81770043</v>
      </c>
      <c r="C267" s="62" t="inlineStr">
        <is>
          <t>TA25AWR056</t>
        </is>
      </c>
      <c r="D267" s="62" t="inlineStr">
        <is>
          <t>Ammonia</t>
        </is>
      </c>
      <c r="E267" s="62" t="inlineStr">
        <is>
          <t>Unit 19</t>
        </is>
      </c>
      <c r="F267" s="62" t="inlineStr">
        <is>
          <t>GATE VALVE</t>
        </is>
      </c>
      <c r="G267" s="62" t="inlineStr">
        <is>
          <t>PK VALVE</t>
        </is>
      </c>
      <c r="H267" s="69" t="n"/>
      <c r="I267" s="69" t="n"/>
      <c r="J267" s="129" t="inlineStr">
        <is>
          <t>M237-8GTV-1902</t>
        </is>
      </c>
      <c r="K267" s="69" t="n"/>
      <c r="L267" s="69" t="n"/>
      <c r="M267" s="62" t="inlineStr">
        <is>
          <t>Valve Packing Replacement</t>
        </is>
      </c>
      <c r="N267" s="69" t="n"/>
      <c r="O267" s="69" t="n"/>
      <c r="P267" s="69" t="n"/>
      <c r="Q267" s="69" t="n"/>
      <c r="R267" s="69" t="n"/>
      <c r="S267" s="69" t="n"/>
      <c r="T267" s="69" t="n"/>
      <c r="U267" s="69" t="n"/>
      <c r="V267" s="69" t="n"/>
      <c r="W267" s="62" t="n">
        <v>8</v>
      </c>
      <c r="X267" s="62" t="n">
        <v>8</v>
      </c>
      <c r="Y267" s="456" t="n"/>
      <c r="Z267" s="69" t="n"/>
      <c r="AA267" s="62" t="n">
        <v>300</v>
      </c>
      <c r="AB267" s="62" t="n">
        <v>300</v>
      </c>
      <c r="AC267" s="73" t="n"/>
      <c r="AD267" s="69" t="n"/>
      <c r="AE267" s="69" t="n"/>
      <c r="AF267" s="73" t="n"/>
      <c r="AG267" s="69" t="n"/>
      <c r="AH267" s="85" t="n"/>
    </row>
    <row r="268">
      <c r="A268" s="82" t="n">
        <v>313</v>
      </c>
      <c r="B268" s="75" t="n">
        <v>81799167</v>
      </c>
      <c r="C268" s="62" t="inlineStr">
        <is>
          <t>AMSMC010</t>
        </is>
      </c>
      <c r="D268" s="62" t="inlineStr">
        <is>
          <t>Ammonia</t>
        </is>
      </c>
      <c r="E268" s="62" t="n">
        <v>13</v>
      </c>
      <c r="F268" s="62" t="inlineStr">
        <is>
          <t>GATE VALVE</t>
        </is>
      </c>
      <c r="G268" s="62" t="inlineStr">
        <is>
          <t>PK VALVE</t>
        </is>
      </c>
      <c r="H268" s="69" t="n"/>
      <c r="I268" s="69" t="n"/>
      <c r="J268" s="129" t="inlineStr">
        <is>
          <t>M237-3GTV-1301A</t>
        </is>
      </c>
      <c r="K268" s="69" t="n"/>
      <c r="L268" s="69" t="n"/>
      <c r="M268" s="62" t="inlineStr">
        <is>
          <t>Valve Packing Replacement</t>
        </is>
      </c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2" t="n">
        <v>3</v>
      </c>
      <c r="X268" s="62" t="n">
        <v>3</v>
      </c>
      <c r="Y268" s="456" t="n"/>
      <c r="Z268" s="69" t="n"/>
      <c r="AA268" s="62" t="n">
        <v>600</v>
      </c>
      <c r="AB268" s="62" t="n">
        <v>600</v>
      </c>
      <c r="AC268" s="73" t="n"/>
      <c r="AD268" s="69" t="n"/>
      <c r="AE268" s="69" t="n"/>
      <c r="AF268" s="73" t="n"/>
      <c r="AG268" s="69" t="n"/>
      <c r="AH268" s="85" t="n"/>
    </row>
    <row r="269">
      <c r="A269" s="82" t="n">
        <v>314</v>
      </c>
      <c r="B269" s="75" t="n">
        <v>81799168</v>
      </c>
      <c r="C269" s="62" t="inlineStr">
        <is>
          <t>AMSMC011</t>
        </is>
      </c>
      <c r="D269" s="62" t="inlineStr">
        <is>
          <t>Ammonia</t>
        </is>
      </c>
      <c r="E269" s="62" t="n">
        <v>13</v>
      </c>
      <c r="F269" s="62" t="inlineStr">
        <is>
          <t>GATE VALVE</t>
        </is>
      </c>
      <c r="G269" s="62" t="inlineStr">
        <is>
          <t>PK VALVE</t>
        </is>
      </c>
      <c r="H269" s="69" t="n"/>
      <c r="I269" s="69" t="n"/>
      <c r="J269" s="129" t="inlineStr">
        <is>
          <t>M237-3GTV-1302A</t>
        </is>
      </c>
      <c r="K269" s="69" t="n"/>
      <c r="L269" s="69" t="n"/>
      <c r="M269" s="62" t="inlineStr">
        <is>
          <t>Valve Packing Replacement</t>
        </is>
      </c>
      <c r="N269" s="69" t="n"/>
      <c r="O269" s="69" t="n"/>
      <c r="P269" s="69" t="n"/>
      <c r="Q269" s="69" t="n"/>
      <c r="R269" s="69" t="n"/>
      <c r="S269" s="69" t="n"/>
      <c r="T269" s="69" t="n"/>
      <c r="U269" s="69" t="n"/>
      <c r="V269" s="69" t="n"/>
      <c r="W269" s="62" t="n">
        <v>3</v>
      </c>
      <c r="X269" s="62" t="n">
        <v>3</v>
      </c>
      <c r="Y269" s="456" t="n"/>
      <c r="Z269" s="69" t="n"/>
      <c r="AA269" s="62" t="n">
        <v>600</v>
      </c>
      <c r="AB269" s="62" t="n">
        <v>600</v>
      </c>
      <c r="AC269" s="73" t="n"/>
      <c r="AD269" s="69" t="n"/>
      <c r="AE269" s="69" t="n"/>
      <c r="AF269" s="73" t="n"/>
      <c r="AG269" s="69" t="n"/>
      <c r="AH269" s="85" t="n"/>
    </row>
    <row r="270">
      <c r="A270" s="82" t="n">
        <v>315</v>
      </c>
      <c r="B270" s="75" t="n">
        <v>81799169</v>
      </c>
      <c r="C270" s="62" t="inlineStr">
        <is>
          <t>AMSMC012</t>
        </is>
      </c>
      <c r="D270" s="62" t="inlineStr">
        <is>
          <t>Ammonia</t>
        </is>
      </c>
      <c r="E270" s="62" t="n">
        <v>13</v>
      </c>
      <c r="F270" s="62" t="inlineStr">
        <is>
          <t>GATE VALVE</t>
        </is>
      </c>
      <c r="G270" s="62" t="inlineStr">
        <is>
          <t>PK VALVE</t>
        </is>
      </c>
      <c r="H270" s="69" t="n"/>
      <c r="I270" s="69" t="n"/>
      <c r="J270" s="129" t="inlineStr">
        <is>
          <t>M237-3GTV-1301B</t>
        </is>
      </c>
      <c r="K270" s="69" t="n"/>
      <c r="L270" s="69" t="n"/>
      <c r="M270" s="62" t="inlineStr">
        <is>
          <t>Valve Packing Replacement</t>
        </is>
      </c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2" t="n">
        <v>3</v>
      </c>
      <c r="X270" s="62" t="n">
        <v>3</v>
      </c>
      <c r="Y270" s="456" t="n"/>
      <c r="Z270" s="69" t="n"/>
      <c r="AA270" s="62" t="n">
        <v>600</v>
      </c>
      <c r="AB270" s="62" t="n">
        <v>600</v>
      </c>
      <c r="AC270" s="73" t="n"/>
      <c r="AD270" s="69" t="n"/>
      <c r="AE270" s="69" t="n"/>
      <c r="AF270" s="73" t="n"/>
      <c r="AG270" s="69" t="n"/>
      <c r="AH270" s="85" t="n"/>
    </row>
    <row r="271">
      <c r="A271" s="82" t="n">
        <v>316</v>
      </c>
      <c r="B271" s="75" t="n">
        <v>81799170</v>
      </c>
      <c r="C271" s="62" t="inlineStr">
        <is>
          <t>AMSMC013</t>
        </is>
      </c>
      <c r="D271" s="62" t="inlineStr">
        <is>
          <t>Ammonia</t>
        </is>
      </c>
      <c r="E271" s="62" t="n">
        <v>13</v>
      </c>
      <c r="F271" s="62" t="inlineStr">
        <is>
          <t>GATE VALVE</t>
        </is>
      </c>
      <c r="G271" s="62" t="inlineStr">
        <is>
          <t>PK VALVE</t>
        </is>
      </c>
      <c r="H271" s="69" t="n"/>
      <c r="I271" s="69" t="n"/>
      <c r="J271" s="129" t="inlineStr">
        <is>
          <t>M237-3GTV-1302B</t>
        </is>
      </c>
      <c r="K271" s="69" t="n"/>
      <c r="L271" s="69" t="n"/>
      <c r="M271" s="62" t="inlineStr">
        <is>
          <t>Valve Packing Replacement</t>
        </is>
      </c>
      <c r="N271" s="69" t="n"/>
      <c r="O271" s="69" t="n"/>
      <c r="P271" s="69" t="n"/>
      <c r="Q271" s="69" t="n"/>
      <c r="R271" s="69" t="n"/>
      <c r="S271" s="69" t="n"/>
      <c r="T271" s="69" t="n"/>
      <c r="U271" s="69" t="n"/>
      <c r="V271" s="69" t="n"/>
      <c r="W271" s="62" t="n">
        <v>3</v>
      </c>
      <c r="X271" s="62" t="n">
        <v>3</v>
      </c>
      <c r="Y271" s="456" t="n"/>
      <c r="Z271" s="69" t="n"/>
      <c r="AA271" s="62" t="n">
        <v>600</v>
      </c>
      <c r="AB271" s="62" t="n">
        <v>600</v>
      </c>
      <c r="AC271" s="73" t="n"/>
      <c r="AD271" s="69" t="n"/>
      <c r="AE271" s="69" t="n"/>
      <c r="AF271" s="73" t="n"/>
      <c r="AG271" s="69" t="n"/>
      <c r="AH271" s="85" t="n"/>
    </row>
    <row r="272">
      <c r="A272" s="82" t="n">
        <v>317</v>
      </c>
      <c r="B272" s="75" t="n">
        <v>81799171</v>
      </c>
      <c r="C272" s="62" t="inlineStr">
        <is>
          <t>AMSMC014</t>
        </is>
      </c>
      <c r="D272" s="62" t="inlineStr">
        <is>
          <t>Ammonia</t>
        </is>
      </c>
      <c r="E272" s="62" t="n">
        <v>13</v>
      </c>
      <c r="F272" s="62" t="inlineStr">
        <is>
          <t>GATE VALVE</t>
        </is>
      </c>
      <c r="G272" s="62" t="inlineStr">
        <is>
          <t>PK VALVE</t>
        </is>
      </c>
      <c r="H272" s="69" t="n"/>
      <c r="I272" s="69" t="n"/>
      <c r="J272" s="129" t="inlineStr">
        <is>
          <t>M237-12GTV-1301</t>
        </is>
      </c>
      <c r="K272" s="69" t="n"/>
      <c r="L272" s="69" t="n"/>
      <c r="M272" s="62" t="inlineStr">
        <is>
          <t>Valve Packing Replacement</t>
        </is>
      </c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2" t="n">
        <v>12</v>
      </c>
      <c r="X272" s="62" t="n">
        <v>12</v>
      </c>
      <c r="Y272" s="456" t="n"/>
      <c r="Z272" s="69" t="n"/>
      <c r="AA272" s="62" t="n">
        <v>600</v>
      </c>
      <c r="AB272" s="62" t="n">
        <v>600</v>
      </c>
      <c r="AC272" s="73" t="n"/>
      <c r="AD272" s="69" t="n"/>
      <c r="AE272" s="69" t="n"/>
      <c r="AF272" s="73" t="n"/>
      <c r="AG272" s="69" t="n"/>
      <c r="AH272" s="85" t="n"/>
    </row>
    <row r="273">
      <c r="A273" s="82" t="n">
        <v>318</v>
      </c>
      <c r="B273" s="75" t="n">
        <v>81799172</v>
      </c>
      <c r="C273" s="62" t="inlineStr">
        <is>
          <t>AMSMC015</t>
        </is>
      </c>
      <c r="D273" s="62" t="inlineStr">
        <is>
          <t>Ammonia</t>
        </is>
      </c>
      <c r="E273" s="62" t="n">
        <v>13</v>
      </c>
      <c r="F273" s="62" t="inlineStr">
        <is>
          <t>GATE VALVE</t>
        </is>
      </c>
      <c r="G273" s="62" t="inlineStr">
        <is>
          <t>PK VALVE</t>
        </is>
      </c>
      <c r="H273" s="69" t="n"/>
      <c r="I273" s="69" t="n"/>
      <c r="J273" s="129" t="inlineStr">
        <is>
          <t>M237-12GTV-1302</t>
        </is>
      </c>
      <c r="K273" s="69" t="n"/>
      <c r="L273" s="69" t="n"/>
      <c r="M273" s="62" t="inlineStr">
        <is>
          <t>Valve Packing Replacement</t>
        </is>
      </c>
      <c r="N273" s="69" t="n"/>
      <c r="O273" s="69" t="n"/>
      <c r="P273" s="69" t="n"/>
      <c r="Q273" s="69" t="n"/>
      <c r="R273" s="69" t="n"/>
      <c r="S273" s="69" t="n"/>
      <c r="T273" s="69" t="n"/>
      <c r="U273" s="69" t="n"/>
      <c r="V273" s="69" t="n"/>
      <c r="W273" s="62" t="n">
        <v>12</v>
      </c>
      <c r="X273" s="62" t="n">
        <v>12</v>
      </c>
      <c r="Y273" s="456" t="n"/>
      <c r="Z273" s="69" t="n"/>
      <c r="AA273" s="62" t="n">
        <v>600</v>
      </c>
      <c r="AB273" s="62" t="n">
        <v>600</v>
      </c>
      <c r="AC273" s="73" t="n"/>
      <c r="AD273" s="69" t="n"/>
      <c r="AE273" s="69" t="n"/>
      <c r="AF273" s="73" t="n"/>
      <c r="AG273" s="69" t="n"/>
      <c r="AH273" s="85" t="n"/>
    </row>
    <row r="274">
      <c r="A274" s="82" t="n">
        <v>319</v>
      </c>
      <c r="B274" s="75" t="n">
        <v>81799173</v>
      </c>
      <c r="C274" s="62" t="inlineStr">
        <is>
          <t>AMSMC016</t>
        </is>
      </c>
      <c r="D274" s="62" t="inlineStr">
        <is>
          <t>Ammonia</t>
        </is>
      </c>
      <c r="E274" s="62" t="n">
        <v>13</v>
      </c>
      <c r="F274" s="62" t="inlineStr">
        <is>
          <t>GATE VALVE</t>
        </is>
      </c>
      <c r="G274" s="62" t="inlineStr">
        <is>
          <t>PK VALVE</t>
        </is>
      </c>
      <c r="H274" s="69" t="n"/>
      <c r="I274" s="69" t="n"/>
      <c r="J274" s="129" t="inlineStr">
        <is>
          <t>M237-3GTV-1303</t>
        </is>
      </c>
      <c r="K274" s="69" t="n"/>
      <c r="L274" s="69" t="n"/>
      <c r="M274" s="62" t="inlineStr">
        <is>
          <t>Valve Packing Replacement</t>
        </is>
      </c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2" t="n">
        <v>3</v>
      </c>
      <c r="X274" s="62" t="n">
        <v>3</v>
      </c>
      <c r="Y274" s="456" t="n"/>
      <c r="Z274" s="69" t="n"/>
      <c r="AA274" s="62" t="n">
        <v>600</v>
      </c>
      <c r="AB274" s="62" t="n">
        <v>600</v>
      </c>
      <c r="AC274" s="73" t="n"/>
      <c r="AD274" s="69" t="n"/>
      <c r="AE274" s="69" t="n"/>
      <c r="AF274" s="73" t="n"/>
      <c r="AG274" s="69" t="n"/>
      <c r="AH274" s="85" t="n"/>
    </row>
    <row r="275">
      <c r="A275" s="82" t="n">
        <v>320</v>
      </c>
      <c r="B275" s="75" t="n">
        <v>81799174</v>
      </c>
      <c r="C275" s="62" t="inlineStr">
        <is>
          <t>AMSMC017</t>
        </is>
      </c>
      <c r="D275" s="62" t="inlineStr">
        <is>
          <t>Ammonia</t>
        </is>
      </c>
      <c r="E275" s="62" t="n">
        <v>13</v>
      </c>
      <c r="F275" s="62" t="inlineStr">
        <is>
          <t>GATE VALVE</t>
        </is>
      </c>
      <c r="G275" s="62" t="inlineStr">
        <is>
          <t>PK VALVE</t>
        </is>
      </c>
      <c r="H275" s="69" t="n"/>
      <c r="I275" s="69" t="n"/>
      <c r="J275" s="129" t="inlineStr">
        <is>
          <t>M237-3GTV-1304</t>
        </is>
      </c>
      <c r="K275" s="69" t="n"/>
      <c r="L275" s="69" t="n"/>
      <c r="M275" s="62" t="inlineStr">
        <is>
          <t>Valve Packing Replacement</t>
        </is>
      </c>
      <c r="N275" s="69" t="n"/>
      <c r="O275" s="69" t="n"/>
      <c r="P275" s="69" t="n"/>
      <c r="Q275" s="69" t="n"/>
      <c r="R275" s="69" t="n"/>
      <c r="S275" s="69" t="n"/>
      <c r="T275" s="69" t="n"/>
      <c r="U275" s="69" t="n"/>
      <c r="V275" s="69" t="n"/>
      <c r="W275" s="62" t="n">
        <v>3</v>
      </c>
      <c r="X275" s="62" t="n">
        <v>3</v>
      </c>
      <c r="Y275" s="456" t="n"/>
      <c r="Z275" s="69" t="n"/>
      <c r="AA275" s="62" t="n">
        <v>600</v>
      </c>
      <c r="AB275" s="62" t="n">
        <v>600</v>
      </c>
      <c r="AC275" s="73" t="n"/>
      <c r="AD275" s="69" t="n"/>
      <c r="AE275" s="69" t="n"/>
      <c r="AF275" s="73" t="n"/>
      <c r="AG275" s="69" t="n"/>
      <c r="AH275" s="85" t="n"/>
    </row>
    <row r="276">
      <c r="A276" s="82" t="n">
        <v>321</v>
      </c>
      <c r="B276" s="75" t="n">
        <v>81799175</v>
      </c>
      <c r="C276" s="62" t="inlineStr">
        <is>
          <t>AMSMC018</t>
        </is>
      </c>
      <c r="D276" s="62" t="inlineStr">
        <is>
          <t>Ammonia</t>
        </is>
      </c>
      <c r="E276" s="62" t="n">
        <v>13</v>
      </c>
      <c r="F276" s="62" t="inlineStr">
        <is>
          <t>GATE VALVE</t>
        </is>
      </c>
      <c r="G276" s="62" t="inlineStr">
        <is>
          <t>PK VALVE</t>
        </is>
      </c>
      <c r="H276" s="69" t="n"/>
      <c r="I276" s="69" t="n"/>
      <c r="J276" s="129" t="inlineStr">
        <is>
          <t>M237-20GTV-1301</t>
        </is>
      </c>
      <c r="K276" s="69" t="n"/>
      <c r="L276" s="69" t="n"/>
      <c r="M276" s="62" t="inlineStr">
        <is>
          <t>Valve Packing Replacement</t>
        </is>
      </c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2" t="n">
        <v>20</v>
      </c>
      <c r="X276" s="62" t="n">
        <v>20</v>
      </c>
      <c r="Y276" s="456" t="n"/>
      <c r="Z276" s="69" t="n"/>
      <c r="AA276" s="62" t="n">
        <v>600</v>
      </c>
      <c r="AB276" s="62" t="n">
        <v>600</v>
      </c>
      <c r="AC276" s="73" t="n"/>
      <c r="AD276" s="69" t="n"/>
      <c r="AE276" s="69" t="n"/>
      <c r="AF276" s="73" t="n"/>
      <c r="AG276" s="69" t="n"/>
      <c r="AH276" s="85" t="n"/>
    </row>
    <row r="277">
      <c r="A277" s="82" t="n">
        <v>322</v>
      </c>
      <c r="B277" s="75" t="n">
        <v>81799176</v>
      </c>
      <c r="C277" s="62" t="inlineStr">
        <is>
          <t>AMSMC019</t>
        </is>
      </c>
      <c r="D277" s="62" t="inlineStr">
        <is>
          <t>Ammonia</t>
        </is>
      </c>
      <c r="E277" s="62" t="n">
        <v>13</v>
      </c>
      <c r="F277" s="62" t="inlineStr">
        <is>
          <t>GATE VALVE</t>
        </is>
      </c>
      <c r="G277" s="62" t="inlineStr">
        <is>
          <t>PK VALVE</t>
        </is>
      </c>
      <c r="H277" s="69" t="n"/>
      <c r="I277" s="69" t="n"/>
      <c r="J277" s="129" t="inlineStr">
        <is>
          <t>M237-10GTV-1301</t>
        </is>
      </c>
      <c r="K277" s="69" t="n"/>
      <c r="L277" s="69" t="n"/>
      <c r="M277" s="62" t="inlineStr">
        <is>
          <t>Valve Packing Replacement</t>
        </is>
      </c>
      <c r="N277" s="69" t="n"/>
      <c r="O277" s="69" t="n"/>
      <c r="P277" s="69" t="n"/>
      <c r="Q277" s="69" t="n"/>
      <c r="R277" s="69" t="n"/>
      <c r="S277" s="69" t="n"/>
      <c r="T277" s="69" t="n"/>
      <c r="U277" s="69" t="n"/>
      <c r="V277" s="69" t="n"/>
      <c r="W277" s="62" t="n">
        <v>10</v>
      </c>
      <c r="X277" s="62" t="n">
        <v>10</v>
      </c>
      <c r="Y277" s="456" t="n"/>
      <c r="Z277" s="69" t="n"/>
      <c r="AA277" s="62" t="n">
        <v>600</v>
      </c>
      <c r="AB277" s="62" t="n">
        <v>600</v>
      </c>
      <c r="AC277" s="73" t="n"/>
      <c r="AD277" s="69" t="n"/>
      <c r="AE277" s="69" t="n"/>
      <c r="AF277" s="73" t="n"/>
      <c r="AG277" s="69" t="n"/>
      <c r="AH277" s="85" t="n"/>
    </row>
    <row r="278">
      <c r="A278" s="82" t="n">
        <v>323</v>
      </c>
      <c r="B278" s="75" t="n">
        <v>81799177</v>
      </c>
      <c r="C278" s="62" t="inlineStr">
        <is>
          <t>AMSMC020</t>
        </is>
      </c>
      <c r="D278" s="62" t="inlineStr">
        <is>
          <t>Ammonia</t>
        </is>
      </c>
      <c r="E278" s="62" t="n">
        <v>13</v>
      </c>
      <c r="F278" s="62" t="inlineStr">
        <is>
          <t>GATE VALVE</t>
        </is>
      </c>
      <c r="G278" s="62" t="inlineStr">
        <is>
          <t>PK VALVE</t>
        </is>
      </c>
      <c r="H278" s="69" t="n"/>
      <c r="I278" s="69" t="n"/>
      <c r="J278" s="129" t="inlineStr">
        <is>
          <t>M237-18GTV-1301</t>
        </is>
      </c>
      <c r="K278" s="69" t="n"/>
      <c r="L278" s="69" t="n"/>
      <c r="M278" s="62" t="inlineStr">
        <is>
          <t>Valve Packing Replacement</t>
        </is>
      </c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2" t="n">
        <v>18</v>
      </c>
      <c r="X278" s="62" t="n">
        <v>18</v>
      </c>
      <c r="Y278" s="456" t="n"/>
      <c r="Z278" s="69" t="n"/>
      <c r="AA278" s="62" t="n">
        <v>600</v>
      </c>
      <c r="AB278" s="62" t="n">
        <v>600</v>
      </c>
      <c r="AC278" s="73" t="n"/>
      <c r="AD278" s="69" t="n"/>
      <c r="AE278" s="69" t="n"/>
      <c r="AF278" s="73" t="n"/>
      <c r="AG278" s="69" t="n"/>
      <c r="AH278" s="85" t="n"/>
    </row>
    <row r="279">
      <c r="A279" s="82" t="n">
        <v>324</v>
      </c>
      <c r="B279" s="75" t="n">
        <v>81799178</v>
      </c>
      <c r="C279" s="62" t="inlineStr">
        <is>
          <t>AMSMC021</t>
        </is>
      </c>
      <c r="D279" s="62" t="inlineStr">
        <is>
          <t>Ammonia</t>
        </is>
      </c>
      <c r="E279" s="62" t="n">
        <v>13</v>
      </c>
      <c r="F279" s="62" t="inlineStr">
        <is>
          <t>GATE VALVE</t>
        </is>
      </c>
      <c r="G279" s="62" t="inlineStr">
        <is>
          <t>PK VALVE</t>
        </is>
      </c>
      <c r="H279" s="69" t="n"/>
      <c r="I279" s="69" t="n"/>
      <c r="J279" s="129" t="inlineStr">
        <is>
          <t>M237-12GTV-1303</t>
        </is>
      </c>
      <c r="K279" s="69" t="n"/>
      <c r="L279" s="69" t="n"/>
      <c r="M279" s="62" t="inlineStr">
        <is>
          <t>Valve Packing Replacement</t>
        </is>
      </c>
      <c r="N279" s="69" t="n"/>
      <c r="O279" s="69" t="n"/>
      <c r="P279" s="69" t="n"/>
      <c r="Q279" s="69" t="n"/>
      <c r="R279" s="69" t="n"/>
      <c r="S279" s="69" t="n"/>
      <c r="T279" s="69" t="n"/>
      <c r="U279" s="69" t="n"/>
      <c r="V279" s="69" t="n"/>
      <c r="W279" s="62" t="n">
        <v>12</v>
      </c>
      <c r="X279" s="62" t="n">
        <v>12</v>
      </c>
      <c r="Y279" s="456" t="n"/>
      <c r="Z279" s="69" t="n"/>
      <c r="AA279" s="62" t="n">
        <v>600</v>
      </c>
      <c r="AB279" s="62" t="n">
        <v>600</v>
      </c>
      <c r="AC279" s="73" t="n"/>
      <c r="AD279" s="69" t="n"/>
      <c r="AE279" s="69" t="n"/>
      <c r="AF279" s="73" t="n"/>
      <c r="AG279" s="69" t="n"/>
      <c r="AH279" s="85" t="n"/>
    </row>
    <row r="280">
      <c r="A280" s="82" t="n">
        <v>325</v>
      </c>
      <c r="B280" s="75" t="n">
        <v>81799179</v>
      </c>
      <c r="C280" s="62" t="inlineStr">
        <is>
          <t>AMSMC022</t>
        </is>
      </c>
      <c r="D280" s="62" t="inlineStr">
        <is>
          <t>Ammonia</t>
        </is>
      </c>
      <c r="E280" s="62" t="n">
        <v>13</v>
      </c>
      <c r="F280" s="62" t="inlineStr">
        <is>
          <t>GATE VALVE</t>
        </is>
      </c>
      <c r="G280" s="62" t="inlineStr">
        <is>
          <t>PK VALVE</t>
        </is>
      </c>
      <c r="H280" s="69" t="n"/>
      <c r="I280" s="69" t="n"/>
      <c r="J280" s="129" t="inlineStr">
        <is>
          <t>M237-12GTV-1304</t>
        </is>
      </c>
      <c r="K280" s="69" t="n"/>
      <c r="L280" s="69" t="n"/>
      <c r="M280" s="62" t="inlineStr">
        <is>
          <t>Valve Packing Replacement</t>
        </is>
      </c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2" t="n">
        <v>12</v>
      </c>
      <c r="X280" s="62" t="n">
        <v>12</v>
      </c>
      <c r="Y280" s="456" t="n"/>
      <c r="Z280" s="69" t="n"/>
      <c r="AA280" s="62" t="n">
        <v>600</v>
      </c>
      <c r="AB280" s="62" t="n">
        <v>600</v>
      </c>
      <c r="AC280" s="73" t="n"/>
      <c r="AD280" s="69" t="n"/>
      <c r="AE280" s="69" t="n"/>
      <c r="AF280" s="73" t="n"/>
      <c r="AG280" s="69" t="n"/>
      <c r="AH280" s="85" t="n"/>
    </row>
    <row r="281">
      <c r="A281" s="82" t="n">
        <v>326</v>
      </c>
      <c r="B281" s="75" t="n">
        <v>81799180</v>
      </c>
      <c r="C281" s="62" t="inlineStr">
        <is>
          <t>AMSMC023</t>
        </is>
      </c>
      <c r="D281" s="62" t="inlineStr">
        <is>
          <t>Ammonia</t>
        </is>
      </c>
      <c r="E281" s="62" t="n">
        <v>13</v>
      </c>
      <c r="F281" s="62" t="inlineStr">
        <is>
          <t>GATE VALVE</t>
        </is>
      </c>
      <c r="G281" s="62" t="inlineStr">
        <is>
          <t>PK VALVE</t>
        </is>
      </c>
      <c r="H281" s="69" t="n"/>
      <c r="I281" s="69" t="n"/>
      <c r="J281" s="129" t="inlineStr">
        <is>
          <t>M237-14GTV-1301</t>
        </is>
      </c>
      <c r="K281" s="69" t="n"/>
      <c r="L281" s="69" t="n"/>
      <c r="M281" s="62" t="inlineStr">
        <is>
          <t>Valve Packing Replacement</t>
        </is>
      </c>
      <c r="N281" s="69" t="n"/>
      <c r="O281" s="69" t="n"/>
      <c r="P281" s="69" t="n"/>
      <c r="Q281" s="69" t="n"/>
      <c r="R281" s="69" t="n"/>
      <c r="S281" s="69" t="n"/>
      <c r="T281" s="69" t="n"/>
      <c r="U281" s="69" t="n"/>
      <c r="V281" s="69" t="n"/>
      <c r="W281" s="62" t="n">
        <v>14</v>
      </c>
      <c r="X281" s="62" t="n">
        <v>14</v>
      </c>
      <c r="Y281" s="456" t="n"/>
      <c r="Z281" s="69" t="n"/>
      <c r="AA281" s="62" t="n">
        <v>300</v>
      </c>
      <c r="AB281" s="62" t="n">
        <v>300</v>
      </c>
      <c r="AC281" s="73" t="n"/>
      <c r="AD281" s="69" t="n"/>
      <c r="AE281" s="69" t="n"/>
      <c r="AF281" s="73" t="n"/>
      <c r="AG281" s="69" t="n"/>
      <c r="AH281" s="85" t="n"/>
    </row>
    <row r="282">
      <c r="A282" s="82" t="n">
        <v>327</v>
      </c>
      <c r="B282" s="75" t="n">
        <v>81799181</v>
      </c>
      <c r="C282" s="62" t="inlineStr">
        <is>
          <t>AMSMC024</t>
        </is>
      </c>
      <c r="D282" s="62" t="inlineStr">
        <is>
          <t>Ammonia</t>
        </is>
      </c>
      <c r="E282" s="62" t="n">
        <v>13</v>
      </c>
      <c r="F282" s="62" t="inlineStr">
        <is>
          <t>GATE VALVE</t>
        </is>
      </c>
      <c r="G282" s="62" t="inlineStr">
        <is>
          <t>PK VALVE</t>
        </is>
      </c>
      <c r="H282" s="69" t="n"/>
      <c r="I282" s="69" t="n"/>
      <c r="J282" s="129" t="inlineStr">
        <is>
          <t>M237-14GTV-1302</t>
        </is>
      </c>
      <c r="K282" s="69" t="n"/>
      <c r="L282" s="69" t="n"/>
      <c r="M282" s="62" t="inlineStr">
        <is>
          <t>Valve Packing Replacement</t>
        </is>
      </c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2" t="n">
        <v>14</v>
      </c>
      <c r="X282" s="62" t="n">
        <v>14</v>
      </c>
      <c r="Y282" s="456" t="n"/>
      <c r="Z282" s="69" t="n"/>
      <c r="AA282" s="62" t="n">
        <v>300</v>
      </c>
      <c r="AB282" s="62" t="n">
        <v>300</v>
      </c>
      <c r="AC282" s="73" t="n"/>
      <c r="AD282" s="69" t="n"/>
      <c r="AE282" s="69" t="n"/>
      <c r="AF282" s="73" t="n"/>
      <c r="AG282" s="69" t="n"/>
      <c r="AH282" s="85" t="n"/>
    </row>
    <row r="283">
      <c r="A283" s="82" t="n">
        <v>328</v>
      </c>
      <c r="B283" s="75" t="n">
        <v>81799182</v>
      </c>
      <c r="C283" s="62" t="inlineStr">
        <is>
          <t>AMSMC025</t>
        </is>
      </c>
      <c r="D283" s="62" t="inlineStr">
        <is>
          <t>Ammonia</t>
        </is>
      </c>
      <c r="E283" s="62" t="n">
        <v>13</v>
      </c>
      <c r="F283" s="62" t="inlineStr">
        <is>
          <t>GATE VALVE</t>
        </is>
      </c>
      <c r="G283" s="62" t="inlineStr">
        <is>
          <t>PK VALVE</t>
        </is>
      </c>
      <c r="H283" s="69" t="n"/>
      <c r="I283" s="69" t="n"/>
      <c r="J283" s="129" t="inlineStr">
        <is>
          <t>M237-12GTV-1305</t>
        </is>
      </c>
      <c r="K283" s="69" t="n"/>
      <c r="L283" s="69" t="n"/>
      <c r="M283" s="62" t="inlineStr">
        <is>
          <t>Valve Packing Replacement</t>
        </is>
      </c>
      <c r="N283" s="69" t="n"/>
      <c r="O283" s="69" t="n"/>
      <c r="P283" s="69" t="n"/>
      <c r="Q283" s="69" t="n"/>
      <c r="R283" s="69" t="n"/>
      <c r="S283" s="69" t="n"/>
      <c r="T283" s="69" t="n"/>
      <c r="U283" s="69" t="n"/>
      <c r="V283" s="69" t="n"/>
      <c r="W283" s="62" t="n">
        <v>12</v>
      </c>
      <c r="X283" s="62" t="n">
        <v>12</v>
      </c>
      <c r="Y283" s="456" t="n"/>
      <c r="Z283" s="69" t="n"/>
      <c r="AA283" s="62" t="n">
        <v>600</v>
      </c>
      <c r="AB283" s="62" t="n">
        <v>600</v>
      </c>
      <c r="AC283" s="73" t="n"/>
      <c r="AD283" s="69" t="n"/>
      <c r="AE283" s="69" t="n"/>
      <c r="AF283" s="73" t="n"/>
      <c r="AG283" s="69" t="n"/>
      <c r="AH283" s="85" t="n"/>
    </row>
    <row r="284">
      <c r="A284" s="82" t="n">
        <v>329</v>
      </c>
      <c r="B284" s="75" t="n">
        <v>81799183</v>
      </c>
      <c r="C284" s="62" t="inlineStr">
        <is>
          <t>AMSMC026</t>
        </is>
      </c>
      <c r="D284" s="62" t="inlineStr">
        <is>
          <t>Ammonia</t>
        </is>
      </c>
      <c r="E284" s="62" t="n">
        <v>13</v>
      </c>
      <c r="F284" s="62" t="inlineStr">
        <is>
          <t>GATE VALVE</t>
        </is>
      </c>
      <c r="G284" s="62" t="inlineStr">
        <is>
          <t>PK VALVE</t>
        </is>
      </c>
      <c r="H284" s="69" t="n"/>
      <c r="I284" s="69" t="n"/>
      <c r="J284" s="129" t="inlineStr">
        <is>
          <t>M237-4GTV-1301</t>
        </is>
      </c>
      <c r="K284" s="69" t="n"/>
      <c r="L284" s="69" t="n"/>
      <c r="M284" s="62" t="inlineStr">
        <is>
          <t>Valve Packing Replacement</t>
        </is>
      </c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2" t="n">
        <v>4</v>
      </c>
      <c r="X284" s="62" t="n">
        <v>4</v>
      </c>
      <c r="Y284" s="456" t="n"/>
      <c r="Z284" s="69" t="n"/>
      <c r="AA284" s="62" t="n">
        <v>150</v>
      </c>
      <c r="AB284" s="62" t="n">
        <v>150</v>
      </c>
      <c r="AC284" s="73" t="n"/>
      <c r="AD284" s="69" t="n"/>
      <c r="AE284" s="69" t="n"/>
      <c r="AF284" s="73" t="n"/>
      <c r="AG284" s="69" t="n"/>
      <c r="AH284" s="85" t="n"/>
    </row>
    <row r="285">
      <c r="A285" s="82" t="n">
        <v>330</v>
      </c>
      <c r="B285" s="75" t="n">
        <v>81799184</v>
      </c>
      <c r="C285" s="62" t="inlineStr">
        <is>
          <t>AMSMC027</t>
        </is>
      </c>
      <c r="D285" s="62" t="inlineStr">
        <is>
          <t>Ammonia</t>
        </is>
      </c>
      <c r="E285" s="62" t="n">
        <v>13</v>
      </c>
      <c r="F285" s="62" t="inlineStr">
        <is>
          <t>GATE VALVE</t>
        </is>
      </c>
      <c r="G285" s="62" t="inlineStr">
        <is>
          <t>PK VALVE</t>
        </is>
      </c>
      <c r="H285" s="69" t="n"/>
      <c r="I285" s="69" t="n"/>
      <c r="J285" s="129" t="inlineStr">
        <is>
          <t>M237-4GTV-1302</t>
        </is>
      </c>
      <c r="K285" s="69" t="n"/>
      <c r="L285" s="69" t="n"/>
      <c r="M285" s="62" t="inlineStr">
        <is>
          <t>Valve Packing Replacement</t>
        </is>
      </c>
      <c r="N285" s="69" t="n"/>
      <c r="O285" s="69" t="n"/>
      <c r="P285" s="69" t="n"/>
      <c r="Q285" s="69" t="n"/>
      <c r="R285" s="69" t="n"/>
      <c r="S285" s="69" t="n"/>
      <c r="T285" s="69" t="n"/>
      <c r="U285" s="69" t="n"/>
      <c r="V285" s="69" t="n"/>
      <c r="W285" s="62" t="n">
        <v>4</v>
      </c>
      <c r="X285" s="62" t="n">
        <v>4</v>
      </c>
      <c r="Y285" s="456" t="n"/>
      <c r="Z285" s="69" t="n"/>
      <c r="AA285" s="62" t="n">
        <v>150</v>
      </c>
      <c r="AB285" s="62" t="n">
        <v>150</v>
      </c>
      <c r="AC285" s="73" t="n"/>
      <c r="AD285" s="69" t="n"/>
      <c r="AE285" s="69" t="n"/>
      <c r="AF285" s="73" t="n"/>
      <c r="AG285" s="69" t="n"/>
      <c r="AH285" s="85" t="n"/>
    </row>
    <row r="286">
      <c r="A286" s="82" t="n">
        <v>331</v>
      </c>
      <c r="B286" s="75" t="n">
        <v>81799185</v>
      </c>
      <c r="C286" s="62" t="inlineStr">
        <is>
          <t>AMSMC028</t>
        </is>
      </c>
      <c r="D286" s="62" t="inlineStr">
        <is>
          <t>Ammonia</t>
        </is>
      </c>
      <c r="E286" s="62" t="n">
        <v>13</v>
      </c>
      <c r="F286" s="62" t="inlineStr">
        <is>
          <t>GATE VALVE</t>
        </is>
      </c>
      <c r="G286" s="62" t="inlineStr">
        <is>
          <t>PK VALVE</t>
        </is>
      </c>
      <c r="H286" s="69" t="n"/>
      <c r="I286" s="69" t="n"/>
      <c r="J286" s="129" t="inlineStr">
        <is>
          <t>M237-12GTV-1306</t>
        </is>
      </c>
      <c r="K286" s="69" t="n"/>
      <c r="L286" s="69" t="n"/>
      <c r="M286" s="62" t="inlineStr">
        <is>
          <t>Valve Packing Replacement</t>
        </is>
      </c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2" t="n">
        <v>12</v>
      </c>
      <c r="X286" s="62" t="n">
        <v>12</v>
      </c>
      <c r="Y286" s="456" t="n"/>
      <c r="Z286" s="69" t="n"/>
      <c r="AA286" s="62" t="n">
        <v>150</v>
      </c>
      <c r="AB286" s="62" t="n">
        <v>150</v>
      </c>
      <c r="AC286" s="73" t="n"/>
      <c r="AD286" s="69" t="n"/>
      <c r="AE286" s="69" t="n"/>
      <c r="AF286" s="73" t="n"/>
      <c r="AG286" s="69" t="n"/>
      <c r="AH286" s="85" t="n"/>
    </row>
    <row r="287">
      <c r="A287" s="82" t="n">
        <v>332</v>
      </c>
      <c r="B287" s="75" t="n">
        <v>81799186</v>
      </c>
      <c r="C287" s="62" t="inlineStr">
        <is>
          <t>AMSMC029</t>
        </is>
      </c>
      <c r="D287" s="62" t="inlineStr">
        <is>
          <t>Ammonia</t>
        </is>
      </c>
      <c r="E287" s="62" t="n">
        <v>13</v>
      </c>
      <c r="F287" s="62" t="inlineStr">
        <is>
          <t>GATE VALVE</t>
        </is>
      </c>
      <c r="G287" s="62" t="inlineStr">
        <is>
          <t>PK VALVE</t>
        </is>
      </c>
      <c r="H287" s="69" t="n"/>
      <c r="I287" s="69" t="n"/>
      <c r="J287" s="129" t="inlineStr">
        <is>
          <t>M237-12GTV-1307</t>
        </is>
      </c>
      <c r="K287" s="69" t="n"/>
      <c r="L287" s="69" t="n"/>
      <c r="M287" s="62" t="inlineStr">
        <is>
          <t>Valve Packing Replacement</t>
        </is>
      </c>
      <c r="N287" s="69" t="n"/>
      <c r="O287" s="69" t="n"/>
      <c r="P287" s="69" t="n"/>
      <c r="Q287" s="69" t="n"/>
      <c r="R287" s="69" t="n"/>
      <c r="S287" s="69" t="n"/>
      <c r="T287" s="69" t="n"/>
      <c r="U287" s="69" t="n"/>
      <c r="V287" s="69" t="n"/>
      <c r="W287" s="62" t="n">
        <v>12</v>
      </c>
      <c r="X287" s="62" t="n">
        <v>12</v>
      </c>
      <c r="Y287" s="456" t="n"/>
      <c r="Z287" s="69" t="n"/>
      <c r="AA287" s="62" t="n">
        <v>150</v>
      </c>
      <c r="AB287" s="62" t="n">
        <v>150</v>
      </c>
      <c r="AC287" s="73" t="n"/>
      <c r="AD287" s="69" t="n"/>
      <c r="AE287" s="69" t="n"/>
      <c r="AF287" s="73" t="n"/>
      <c r="AG287" s="69" t="n"/>
      <c r="AH287" s="85" t="n"/>
    </row>
    <row r="288">
      <c r="A288" s="82" t="n">
        <v>333</v>
      </c>
      <c r="B288" s="75" t="n">
        <v>81799187</v>
      </c>
      <c r="C288" s="62" t="inlineStr">
        <is>
          <t>AMSMC030</t>
        </is>
      </c>
      <c r="D288" s="62" t="inlineStr">
        <is>
          <t>Ammonia</t>
        </is>
      </c>
      <c r="E288" s="62" t="n">
        <v>13</v>
      </c>
      <c r="F288" s="62" t="inlineStr">
        <is>
          <t>GATE VALVE</t>
        </is>
      </c>
      <c r="G288" s="62" t="inlineStr">
        <is>
          <t>PK VALVE</t>
        </is>
      </c>
      <c r="H288" s="69" t="n"/>
      <c r="I288" s="69" t="n"/>
      <c r="J288" s="129" t="inlineStr">
        <is>
          <t>M237-12GTV-1308</t>
        </is>
      </c>
      <c r="K288" s="69" t="n"/>
      <c r="L288" s="69" t="n"/>
      <c r="M288" s="62" t="inlineStr">
        <is>
          <t>Valve Packing Replacement</t>
        </is>
      </c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2" t="n">
        <v>12</v>
      </c>
      <c r="X288" s="62" t="n">
        <v>12</v>
      </c>
      <c r="Y288" s="456" t="n"/>
      <c r="Z288" s="69" t="n"/>
      <c r="AA288" s="62" t="n">
        <v>150</v>
      </c>
      <c r="AB288" s="62" t="n">
        <v>150</v>
      </c>
      <c r="AC288" s="73" t="n"/>
      <c r="AD288" s="69" t="n"/>
      <c r="AE288" s="69" t="n"/>
      <c r="AF288" s="73" t="n"/>
      <c r="AG288" s="69" t="n"/>
      <c r="AH288" s="85" t="n"/>
    </row>
    <row r="289">
      <c r="A289" s="82" t="n">
        <v>334</v>
      </c>
      <c r="B289" s="75" t="n">
        <v>81799188</v>
      </c>
      <c r="C289" s="62" t="inlineStr">
        <is>
          <t>AMSMC031</t>
        </is>
      </c>
      <c r="D289" s="62" t="inlineStr">
        <is>
          <t>Ammonia</t>
        </is>
      </c>
      <c r="E289" s="62" t="n">
        <v>13</v>
      </c>
      <c r="F289" s="62" t="inlineStr">
        <is>
          <t>GATE VALVE</t>
        </is>
      </c>
      <c r="G289" s="62" t="inlineStr">
        <is>
          <t>PK VALVE</t>
        </is>
      </c>
      <c r="H289" s="69" t="n"/>
      <c r="I289" s="69" t="n"/>
      <c r="J289" s="129" t="inlineStr">
        <is>
          <t>M237-12GTV-1309</t>
        </is>
      </c>
      <c r="K289" s="69" t="n"/>
      <c r="L289" s="69" t="n"/>
      <c r="M289" s="62" t="inlineStr">
        <is>
          <t>Valve Packing Replacement</t>
        </is>
      </c>
      <c r="N289" s="69" t="n"/>
      <c r="O289" s="69" t="n"/>
      <c r="P289" s="69" t="n"/>
      <c r="Q289" s="69" t="n"/>
      <c r="R289" s="69" t="n"/>
      <c r="S289" s="69" t="n"/>
      <c r="T289" s="69" t="n"/>
      <c r="U289" s="69" t="n"/>
      <c r="V289" s="69" t="n"/>
      <c r="W289" s="62" t="n">
        <v>12</v>
      </c>
      <c r="X289" s="62" t="n">
        <v>12</v>
      </c>
      <c r="Y289" s="456" t="n"/>
      <c r="Z289" s="69" t="n"/>
      <c r="AA289" s="62" t="n">
        <v>150</v>
      </c>
      <c r="AB289" s="62" t="n">
        <v>150</v>
      </c>
      <c r="AC289" s="73" t="n"/>
      <c r="AD289" s="69" t="n"/>
      <c r="AE289" s="69" t="n"/>
      <c r="AF289" s="73" t="n"/>
      <c r="AG289" s="69" t="n"/>
      <c r="AH289" s="85" t="n"/>
    </row>
    <row r="290">
      <c r="A290" s="82" t="n">
        <v>335</v>
      </c>
      <c r="B290" s="75" t="n">
        <v>81861011</v>
      </c>
      <c r="C290" s="62" t="inlineStr">
        <is>
          <t>TA25AWR056</t>
        </is>
      </c>
      <c r="D290" s="62" t="inlineStr">
        <is>
          <t>Ammonia</t>
        </is>
      </c>
      <c r="E290" s="62" t="inlineStr">
        <is>
          <t>Unit 18</t>
        </is>
      </c>
      <c r="F290" s="62" t="inlineStr">
        <is>
          <t>GATE VALVE</t>
        </is>
      </c>
      <c r="G290" s="62" t="inlineStr">
        <is>
          <t>PK VALVE</t>
        </is>
      </c>
      <c r="H290" s="69" t="n"/>
      <c r="I290" s="69" t="n"/>
      <c r="J290" s="129" t="inlineStr">
        <is>
          <t>M237-8GTV-1803</t>
        </is>
      </c>
      <c r="K290" s="69" t="n"/>
      <c r="L290" s="69" t="n"/>
      <c r="M290" s="62" t="inlineStr">
        <is>
          <t>Valve Packing Replacement</t>
        </is>
      </c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2" t="n">
        <v>8</v>
      </c>
      <c r="X290" s="62" t="n">
        <v>8</v>
      </c>
      <c r="Y290" s="456" t="n"/>
      <c r="Z290" s="69" t="n"/>
      <c r="AA290" s="62" t="n">
        <v>1500</v>
      </c>
      <c r="AB290" s="62" t="n">
        <v>1500</v>
      </c>
      <c r="AC290" s="73" t="n"/>
      <c r="AD290" s="69" t="n"/>
      <c r="AE290" s="69" t="n"/>
      <c r="AF290" s="73" t="n"/>
      <c r="AG290" s="69" t="n"/>
      <c r="AH290" s="85" t="n"/>
    </row>
    <row r="291">
      <c r="A291" s="82" t="n">
        <v>336</v>
      </c>
      <c r="B291" s="75" t="n">
        <v>81861013</v>
      </c>
      <c r="C291" s="62" t="inlineStr">
        <is>
          <t>TA25AWR056</t>
        </is>
      </c>
      <c r="D291" s="62" t="inlineStr">
        <is>
          <t>Ammonia</t>
        </is>
      </c>
      <c r="E291" s="62" t="inlineStr">
        <is>
          <t>Unit 18</t>
        </is>
      </c>
      <c r="F291" s="62" t="inlineStr">
        <is>
          <t>GATE VALVE</t>
        </is>
      </c>
      <c r="G291" s="62" t="inlineStr">
        <is>
          <t>PK VALVE</t>
        </is>
      </c>
      <c r="H291" s="69" t="n"/>
      <c r="I291" s="69" t="n"/>
      <c r="J291" s="129" t="inlineStr">
        <is>
          <t>M237-8GTV-1802</t>
        </is>
      </c>
      <c r="K291" s="69" t="n"/>
      <c r="L291" s="69" t="n"/>
      <c r="M291" s="62" t="inlineStr">
        <is>
          <t>Valve Packing Replacement</t>
        </is>
      </c>
      <c r="N291" s="69" t="n"/>
      <c r="O291" s="69" t="n"/>
      <c r="P291" s="69" t="n"/>
      <c r="Q291" s="69" t="n"/>
      <c r="R291" s="69" t="n"/>
      <c r="S291" s="69" t="n"/>
      <c r="T291" s="69" t="n"/>
      <c r="U291" s="69" t="n"/>
      <c r="V291" s="69" t="n"/>
      <c r="W291" s="62" t="n">
        <v>8</v>
      </c>
      <c r="X291" s="62" t="n">
        <v>8</v>
      </c>
      <c r="Y291" s="456" t="n"/>
      <c r="Z291" s="69" t="n"/>
      <c r="AA291" s="62" t="n">
        <v>1500</v>
      </c>
      <c r="AB291" s="62" t="n">
        <v>1500</v>
      </c>
      <c r="AC291" s="73" t="n"/>
      <c r="AD291" s="69" t="n"/>
      <c r="AE291" s="69" t="n"/>
      <c r="AF291" s="73" t="n"/>
      <c r="AG291" s="69" t="n"/>
      <c r="AH291" s="85" t="n"/>
    </row>
    <row r="292">
      <c r="A292" s="82" t="n">
        <v>337</v>
      </c>
      <c r="B292" s="75" t="n">
        <v>81861014</v>
      </c>
      <c r="C292" s="62" t="inlineStr">
        <is>
          <t>TA25AWR056</t>
        </is>
      </c>
      <c r="D292" s="62" t="inlineStr">
        <is>
          <t>Ammonia</t>
        </is>
      </c>
      <c r="E292" s="62" t="inlineStr">
        <is>
          <t>Unit 19</t>
        </is>
      </c>
      <c r="F292" s="62" t="inlineStr">
        <is>
          <t>GATE VALVE</t>
        </is>
      </c>
      <c r="G292" s="62" t="inlineStr">
        <is>
          <t>PK VALVE</t>
        </is>
      </c>
      <c r="H292" s="69" t="n"/>
      <c r="I292" s="69" t="n"/>
      <c r="J292" s="129" t="inlineStr">
        <is>
          <t>M237-16GTV-1901</t>
        </is>
      </c>
      <c r="K292" s="69" t="n"/>
      <c r="L292" s="69" t="n"/>
      <c r="M292" s="62" t="inlineStr">
        <is>
          <t>Valve Packing Replacement</t>
        </is>
      </c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2" t="n">
        <v>16</v>
      </c>
      <c r="X292" s="62" t="n">
        <v>16</v>
      </c>
      <c r="Y292" s="456" t="n"/>
      <c r="Z292" s="69" t="n"/>
      <c r="AA292" s="62" t="n">
        <v>300</v>
      </c>
      <c r="AB292" s="62" t="n">
        <v>300</v>
      </c>
      <c r="AC292" s="73" t="n"/>
      <c r="AD292" s="69" t="n"/>
      <c r="AE292" s="69" t="n"/>
      <c r="AF292" s="73" t="n"/>
      <c r="AG292" s="69" t="n"/>
      <c r="AH292" s="85" t="n"/>
    </row>
    <row r="293">
      <c r="A293" s="82" t="n">
        <v>338</v>
      </c>
      <c r="B293" s="75" t="n">
        <v>81861015</v>
      </c>
      <c r="C293" s="62" t="inlineStr">
        <is>
          <t>TA25AWR056</t>
        </is>
      </c>
      <c r="D293" s="62" t="inlineStr">
        <is>
          <t>Ammonia</t>
        </is>
      </c>
      <c r="E293" s="62" t="inlineStr">
        <is>
          <t>Unit 53</t>
        </is>
      </c>
      <c r="F293" s="62" t="inlineStr">
        <is>
          <t>GATE VALVE</t>
        </is>
      </c>
      <c r="G293" s="62" t="inlineStr">
        <is>
          <t>PK VALVE</t>
        </is>
      </c>
      <c r="H293" s="69" t="n"/>
      <c r="I293" s="69" t="n"/>
      <c r="J293" s="129" t="inlineStr">
        <is>
          <t>M237-6GTV-1201</t>
        </is>
      </c>
      <c r="K293" s="69" t="n"/>
      <c r="L293" s="69" t="n"/>
      <c r="M293" s="62" t="inlineStr">
        <is>
          <t>Valve Packing Replacement</t>
        </is>
      </c>
      <c r="N293" s="69" t="n"/>
      <c r="O293" s="69" t="n"/>
      <c r="P293" s="69" t="n"/>
      <c r="Q293" s="69" t="n"/>
      <c r="R293" s="69" t="n"/>
      <c r="S293" s="69" t="n"/>
      <c r="T293" s="69" t="n"/>
      <c r="U293" s="69" t="n"/>
      <c r="V293" s="69" t="n"/>
      <c r="W293" s="62" t="n">
        <v>6</v>
      </c>
      <c r="X293" s="62" t="n">
        <v>6</v>
      </c>
      <c r="Y293" s="456" t="n"/>
      <c r="Z293" s="69" t="n"/>
      <c r="AA293" s="62" t="n">
        <v>600</v>
      </c>
      <c r="AB293" s="62" t="n">
        <v>600</v>
      </c>
      <c r="AC293" s="73" t="n"/>
      <c r="AD293" s="69" t="n"/>
      <c r="AE293" s="69" t="n"/>
      <c r="AF293" s="73" t="n"/>
      <c r="AG293" s="69" t="n"/>
      <c r="AH293" s="85" t="n"/>
    </row>
    <row r="294">
      <c r="A294" s="82" t="n">
        <v>339</v>
      </c>
      <c r="B294" s="75" t="n">
        <v>81861016</v>
      </c>
      <c r="C294" s="62" t="inlineStr">
        <is>
          <t>TA25AWR056</t>
        </is>
      </c>
      <c r="D294" s="62" t="inlineStr">
        <is>
          <t>Ammonia</t>
        </is>
      </c>
      <c r="E294" s="62" t="inlineStr">
        <is>
          <t>Unit 53</t>
        </is>
      </c>
      <c r="F294" s="62" t="inlineStr">
        <is>
          <t>GLOBE VALVE</t>
        </is>
      </c>
      <c r="G294" s="62" t="inlineStr">
        <is>
          <t>PK VALVE</t>
        </is>
      </c>
      <c r="H294" s="69" t="n"/>
      <c r="I294" s="69" t="n"/>
      <c r="J294" s="129" t="inlineStr">
        <is>
          <t>M237-12GBV-1201</t>
        </is>
      </c>
      <c r="K294" s="69" t="n"/>
      <c r="L294" s="69" t="n"/>
      <c r="M294" s="62" t="inlineStr">
        <is>
          <t>Valve Packing Replacement</t>
        </is>
      </c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2" t="n">
        <v>12</v>
      </c>
      <c r="X294" s="62" t="n">
        <v>12</v>
      </c>
      <c r="Y294" s="456" t="n"/>
      <c r="Z294" s="69" t="n"/>
      <c r="AA294" s="62" t="n">
        <v>600</v>
      </c>
      <c r="AB294" s="62" t="n">
        <v>600</v>
      </c>
      <c r="AC294" s="73" t="n"/>
      <c r="AD294" s="69" t="n"/>
      <c r="AE294" s="69" t="n"/>
      <c r="AF294" s="73" t="n"/>
      <c r="AG294" s="69" t="n"/>
      <c r="AH294" s="85" t="n"/>
    </row>
    <row r="295">
      <c r="A295" s="82" t="n">
        <v>340</v>
      </c>
      <c r="B295" s="75" t="n">
        <v>81873673</v>
      </c>
      <c r="C295" s="62" t="inlineStr">
        <is>
          <t>TA25AWR056</t>
        </is>
      </c>
      <c r="D295" s="62" t="inlineStr">
        <is>
          <t>Ammonia</t>
        </is>
      </c>
      <c r="E295" s="62" t="inlineStr">
        <is>
          <t>Unit 53</t>
        </is>
      </c>
      <c r="F295" s="62" t="inlineStr">
        <is>
          <t>GATE VALVE</t>
        </is>
      </c>
      <c r="G295" s="62" t="inlineStr">
        <is>
          <t>PK VALVE</t>
        </is>
      </c>
      <c r="H295" s="69" t="n"/>
      <c r="I295" s="69" t="n"/>
      <c r="J295" s="129" t="inlineStr">
        <is>
          <t>M237-10GTV-5302</t>
        </is>
      </c>
      <c r="K295" s="69" t="n"/>
      <c r="L295" s="69" t="n"/>
      <c r="M295" s="62" t="inlineStr">
        <is>
          <t>Valve Packing Replacement</t>
        </is>
      </c>
      <c r="N295" s="69" t="n"/>
      <c r="O295" s="69" t="n"/>
      <c r="P295" s="69" t="n"/>
      <c r="Q295" s="69" t="n"/>
      <c r="R295" s="69" t="n"/>
      <c r="S295" s="69" t="n"/>
      <c r="T295" s="69" t="n"/>
      <c r="U295" s="69" t="n"/>
      <c r="V295" s="69" t="n"/>
      <c r="W295" s="62" t="n">
        <v>10</v>
      </c>
      <c r="X295" s="62" t="n">
        <v>10</v>
      </c>
      <c r="Y295" s="456" t="n"/>
      <c r="Z295" s="69" t="n"/>
      <c r="AA295" s="62" t="n">
        <v>600</v>
      </c>
      <c r="AB295" s="62" t="n">
        <v>600</v>
      </c>
      <c r="AC295" s="73" t="n"/>
      <c r="AD295" s="69" t="n"/>
      <c r="AE295" s="69" t="n"/>
      <c r="AF295" s="73" t="n"/>
      <c r="AG295" s="69" t="n"/>
      <c r="AH295" s="85" t="n"/>
    </row>
    <row r="296">
      <c r="A296" s="82" t="n">
        <v>341</v>
      </c>
      <c r="B296" s="75" t="n">
        <v>81873675</v>
      </c>
      <c r="C296" s="62" t="inlineStr">
        <is>
          <t>TA25AWR056</t>
        </is>
      </c>
      <c r="D296" s="62" t="inlineStr">
        <is>
          <t>Ammonia</t>
        </is>
      </c>
      <c r="E296" s="62" t="inlineStr">
        <is>
          <t>Unit 53</t>
        </is>
      </c>
      <c r="F296" s="62" t="inlineStr">
        <is>
          <t>GATE VALVE</t>
        </is>
      </c>
      <c r="G296" s="62" t="inlineStr">
        <is>
          <t>PK VALVE</t>
        </is>
      </c>
      <c r="H296" s="69" t="n"/>
      <c r="I296" s="69" t="n"/>
      <c r="J296" s="129" t="inlineStr">
        <is>
          <t>M237-10GTV-5303</t>
        </is>
      </c>
      <c r="K296" s="69" t="n"/>
      <c r="L296" s="69" t="n"/>
      <c r="M296" s="62" t="inlineStr">
        <is>
          <t>Valve Packing Replacement</t>
        </is>
      </c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2" t="n">
        <v>10</v>
      </c>
      <c r="X296" s="62" t="n">
        <v>10</v>
      </c>
      <c r="Y296" s="456" t="n"/>
      <c r="Z296" s="69" t="n"/>
      <c r="AA296" s="62" t="n">
        <v>600</v>
      </c>
      <c r="AB296" s="62" t="n">
        <v>600</v>
      </c>
      <c r="AC296" s="73" t="n"/>
      <c r="AD296" s="69" t="n"/>
      <c r="AE296" s="69" t="n"/>
      <c r="AF296" s="73" t="n"/>
      <c r="AG296" s="69" t="n"/>
      <c r="AH296" s="85" t="n"/>
    </row>
    <row r="297">
      <c r="A297" s="82" t="n">
        <v>342</v>
      </c>
      <c r="B297" s="75" t="n">
        <v>81873678</v>
      </c>
      <c r="C297" s="62" t="inlineStr">
        <is>
          <t>TA25AWR056</t>
        </is>
      </c>
      <c r="D297" s="62" t="inlineStr">
        <is>
          <t>Ammonia</t>
        </is>
      </c>
      <c r="E297" s="62" t="inlineStr">
        <is>
          <t>Unit 53</t>
        </is>
      </c>
      <c r="F297" s="62" t="inlineStr">
        <is>
          <t>GATE VALVE</t>
        </is>
      </c>
      <c r="G297" s="62" t="inlineStr">
        <is>
          <t>PK VALVE</t>
        </is>
      </c>
      <c r="H297" s="69" t="n"/>
      <c r="I297" s="69" t="n"/>
      <c r="J297" s="129" t="inlineStr">
        <is>
          <t>M237-10GTV-5304</t>
        </is>
      </c>
      <c r="K297" s="69" t="n"/>
      <c r="L297" s="69" t="n"/>
      <c r="M297" s="62" t="inlineStr">
        <is>
          <t>Valve Packing Replacement</t>
        </is>
      </c>
      <c r="N297" s="69" t="n"/>
      <c r="O297" s="69" t="n"/>
      <c r="P297" s="69" t="n"/>
      <c r="Q297" s="69" t="n"/>
      <c r="R297" s="69" t="n"/>
      <c r="S297" s="69" t="n"/>
      <c r="T297" s="69" t="n"/>
      <c r="U297" s="69" t="n"/>
      <c r="V297" s="69" t="n"/>
      <c r="W297" s="62" t="n">
        <v>10</v>
      </c>
      <c r="X297" s="62" t="n">
        <v>10</v>
      </c>
      <c r="Y297" s="456" t="n"/>
      <c r="Z297" s="69" t="n"/>
      <c r="AA297" s="62" t="n">
        <v>600</v>
      </c>
      <c r="AB297" s="62" t="n">
        <v>600</v>
      </c>
      <c r="AC297" s="73" t="n"/>
      <c r="AD297" s="69" t="n"/>
      <c r="AE297" s="69" t="n"/>
      <c r="AF297" s="73" t="n"/>
      <c r="AG297" s="69" t="n"/>
      <c r="AH297" s="85" t="n"/>
    </row>
    <row r="298">
      <c r="A298" s="82" t="n">
        <v>343</v>
      </c>
      <c r="B298" s="75" t="n">
        <v>81874203</v>
      </c>
      <c r="C298" s="62" t="inlineStr">
        <is>
          <t>TA25AWR056</t>
        </is>
      </c>
      <c r="D298" s="62" t="inlineStr">
        <is>
          <t>Ammonia</t>
        </is>
      </c>
      <c r="E298" s="62" t="inlineStr">
        <is>
          <t>Unit 53</t>
        </is>
      </c>
      <c r="F298" s="62" t="inlineStr">
        <is>
          <t>GATE VALVE</t>
        </is>
      </c>
      <c r="G298" s="62" t="inlineStr">
        <is>
          <t>PK VALVE</t>
        </is>
      </c>
      <c r="H298" s="69" t="n"/>
      <c r="I298" s="69" t="n"/>
      <c r="J298" s="129" t="inlineStr">
        <is>
          <t>M237-8GTV-5301</t>
        </is>
      </c>
      <c r="K298" s="69" t="n"/>
      <c r="L298" s="69" t="n"/>
      <c r="M298" s="62" t="inlineStr">
        <is>
          <t>Valve Packing Replacement</t>
        </is>
      </c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2" t="n">
        <v>8</v>
      </c>
      <c r="X298" s="62" t="n">
        <v>8</v>
      </c>
      <c r="Y298" s="456" t="n"/>
      <c r="Z298" s="69" t="n"/>
      <c r="AA298" s="62" t="n">
        <v>600</v>
      </c>
      <c r="AB298" s="62" t="n">
        <v>600</v>
      </c>
      <c r="AC298" s="73" t="n"/>
      <c r="AD298" s="69" t="n"/>
      <c r="AE298" s="69" t="n"/>
      <c r="AF298" s="73" t="n"/>
      <c r="AG298" s="69" t="n"/>
      <c r="AH298" s="85" t="n"/>
    </row>
    <row r="299">
      <c r="A299" s="82" t="n">
        <v>344</v>
      </c>
      <c r="B299" s="75" t="n">
        <v>81874204</v>
      </c>
      <c r="C299" s="62" t="inlineStr">
        <is>
          <t>TA25AWR056</t>
        </is>
      </c>
      <c r="D299" s="62" t="inlineStr">
        <is>
          <t>Ammonia</t>
        </is>
      </c>
      <c r="E299" s="62" t="inlineStr">
        <is>
          <t>Unit 53</t>
        </is>
      </c>
      <c r="F299" s="62" t="inlineStr">
        <is>
          <t>GATE VALVE</t>
        </is>
      </c>
      <c r="G299" s="62" t="inlineStr">
        <is>
          <t>PK VALVE</t>
        </is>
      </c>
      <c r="H299" s="69" t="n"/>
      <c r="I299" s="69" t="n"/>
      <c r="J299" s="129" t="inlineStr">
        <is>
          <t>M237-8GTV-5302</t>
        </is>
      </c>
      <c r="K299" s="69" t="n"/>
      <c r="L299" s="69" t="n"/>
      <c r="M299" s="62" t="inlineStr">
        <is>
          <t>Valve Packing Replacement</t>
        </is>
      </c>
      <c r="N299" s="69" t="n"/>
      <c r="O299" s="69" t="n"/>
      <c r="P299" s="69" t="n"/>
      <c r="Q299" s="69" t="n"/>
      <c r="R299" s="69" t="n"/>
      <c r="S299" s="69" t="n"/>
      <c r="T299" s="69" t="n"/>
      <c r="U299" s="69" t="n"/>
      <c r="V299" s="69" t="n"/>
      <c r="W299" s="62" t="n">
        <v>8</v>
      </c>
      <c r="X299" s="62" t="n">
        <v>8</v>
      </c>
      <c r="Y299" s="456" t="n"/>
      <c r="Z299" s="69" t="n"/>
      <c r="AA299" s="62" t="n">
        <v>600</v>
      </c>
      <c r="AB299" s="62" t="n">
        <v>600</v>
      </c>
      <c r="AC299" s="73" t="n"/>
      <c r="AD299" s="69" t="n"/>
      <c r="AE299" s="69" t="n"/>
      <c r="AF299" s="73" t="n"/>
      <c r="AG299" s="69" t="n"/>
      <c r="AH299" s="85" t="n"/>
    </row>
    <row r="300">
      <c r="A300" s="82" t="n">
        <v>345</v>
      </c>
      <c r="B300" s="75" t="n">
        <v>81874209</v>
      </c>
      <c r="C300" s="62" t="inlineStr">
        <is>
          <t>TA25AWR056</t>
        </is>
      </c>
      <c r="D300" s="62" t="inlineStr">
        <is>
          <t>Ammonia</t>
        </is>
      </c>
      <c r="E300" s="62" t="inlineStr">
        <is>
          <t>Unit 53</t>
        </is>
      </c>
      <c r="F300" s="62" t="inlineStr">
        <is>
          <t>GATE VALVE</t>
        </is>
      </c>
      <c r="G300" s="62" t="inlineStr">
        <is>
          <t>PK VALVE</t>
        </is>
      </c>
      <c r="H300" s="69" t="n"/>
      <c r="I300" s="69" t="n"/>
      <c r="J300" s="129" t="inlineStr">
        <is>
          <t>M237-10GTV-5305</t>
        </is>
      </c>
      <c r="K300" s="69" t="n"/>
      <c r="L300" s="69" t="n"/>
      <c r="M300" s="62" t="inlineStr">
        <is>
          <t>Valve Packing Replacement</t>
        </is>
      </c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2" t="n">
        <v>10</v>
      </c>
      <c r="X300" s="62" t="n">
        <v>10</v>
      </c>
      <c r="Y300" s="456" t="n"/>
      <c r="Z300" s="69" t="n"/>
      <c r="AA300" s="62" t="n">
        <v>600</v>
      </c>
      <c r="AB300" s="62" t="n">
        <v>600</v>
      </c>
      <c r="AC300" s="73" t="n"/>
      <c r="AD300" s="69" t="n"/>
      <c r="AE300" s="69" t="n"/>
      <c r="AF300" s="73" t="n"/>
      <c r="AG300" s="69" t="n"/>
      <c r="AH300" s="85" t="n"/>
    </row>
    <row r="301">
      <c r="A301" s="82" t="n">
        <v>346</v>
      </c>
      <c r="B301" s="75" t="n">
        <v>81874210</v>
      </c>
      <c r="C301" s="62" t="inlineStr">
        <is>
          <t>TA25AWR056</t>
        </is>
      </c>
      <c r="D301" s="62" t="inlineStr">
        <is>
          <t>Ammonia</t>
        </is>
      </c>
      <c r="E301" s="62" t="inlineStr">
        <is>
          <t>Unit 53</t>
        </is>
      </c>
      <c r="F301" s="62" t="inlineStr">
        <is>
          <t>GATE VALVE</t>
        </is>
      </c>
      <c r="G301" s="62" t="inlineStr">
        <is>
          <t>PK VALVE</t>
        </is>
      </c>
      <c r="H301" s="69" t="n"/>
      <c r="I301" s="69" t="n"/>
      <c r="J301" s="129" t="inlineStr">
        <is>
          <t>M237-6GTV-1602</t>
        </is>
      </c>
      <c r="K301" s="69" t="n"/>
      <c r="L301" s="69" t="n"/>
      <c r="M301" s="62" t="inlineStr">
        <is>
          <t>Valve Packing Replacement</t>
        </is>
      </c>
      <c r="N301" s="69" t="n"/>
      <c r="O301" s="69" t="n"/>
      <c r="P301" s="69" t="n"/>
      <c r="Q301" s="69" t="n"/>
      <c r="R301" s="69" t="n"/>
      <c r="S301" s="69" t="n"/>
      <c r="T301" s="69" t="n"/>
      <c r="U301" s="69" t="n"/>
      <c r="V301" s="69" t="n"/>
      <c r="W301" s="62" t="n">
        <v>6</v>
      </c>
      <c r="X301" s="62" t="n">
        <v>6</v>
      </c>
      <c r="Y301" s="456" t="n"/>
      <c r="Z301" s="69" t="n"/>
      <c r="AA301" s="62" t="n">
        <v>600</v>
      </c>
      <c r="AB301" s="62" t="n">
        <v>600</v>
      </c>
      <c r="AC301" s="73" t="n"/>
      <c r="AD301" s="69" t="n"/>
      <c r="AE301" s="69" t="n"/>
      <c r="AF301" s="73" t="n"/>
      <c r="AG301" s="69" t="n"/>
      <c r="AH301" s="85" t="n"/>
    </row>
    <row r="302">
      <c r="A302" s="82" t="n">
        <v>347</v>
      </c>
      <c r="B302" s="75" t="n">
        <v>81874211</v>
      </c>
      <c r="C302" s="62" t="inlineStr">
        <is>
          <t>TA25AWR056</t>
        </is>
      </c>
      <c r="D302" s="62" t="inlineStr">
        <is>
          <t>Ammonia</t>
        </is>
      </c>
      <c r="E302" s="62" t="inlineStr">
        <is>
          <t>Unit 53</t>
        </is>
      </c>
      <c r="F302" s="62" t="inlineStr">
        <is>
          <t>GATE VALVE</t>
        </is>
      </c>
      <c r="G302" s="62" t="inlineStr">
        <is>
          <t>PK VALVE</t>
        </is>
      </c>
      <c r="H302" s="69" t="n"/>
      <c r="I302" s="69" t="n"/>
      <c r="J302" s="129" t="inlineStr">
        <is>
          <t>M237-6GTV-1601</t>
        </is>
      </c>
      <c r="K302" s="69" t="n"/>
      <c r="L302" s="69" t="n"/>
      <c r="M302" s="62" t="inlineStr">
        <is>
          <t>Valve Packing Replacement</t>
        </is>
      </c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2" t="n">
        <v>6</v>
      </c>
      <c r="X302" s="62" t="n">
        <v>6</v>
      </c>
      <c r="Y302" s="456" t="n"/>
      <c r="Z302" s="69" t="n"/>
      <c r="AA302" s="62" t="n">
        <v>600</v>
      </c>
      <c r="AB302" s="62" t="n">
        <v>600</v>
      </c>
      <c r="AC302" s="73" t="n"/>
      <c r="AD302" s="69" t="n"/>
      <c r="AE302" s="69" t="n"/>
      <c r="AF302" s="73" t="n"/>
      <c r="AG302" s="69" t="n"/>
      <c r="AH302" s="85" t="n"/>
    </row>
    <row r="303">
      <c r="A303" s="82" t="n">
        <v>348</v>
      </c>
      <c r="B303" s="75" t="n">
        <v>81874212</v>
      </c>
      <c r="C303" s="62" t="inlineStr">
        <is>
          <t>TA25AWR056</t>
        </is>
      </c>
      <c r="D303" s="62" t="inlineStr">
        <is>
          <t>Ammonia</t>
        </is>
      </c>
      <c r="E303" s="62" t="inlineStr">
        <is>
          <t>Unit 53</t>
        </is>
      </c>
      <c r="F303" s="62" t="inlineStr">
        <is>
          <t>GATE VALVE</t>
        </is>
      </c>
      <c r="G303" s="62" t="inlineStr">
        <is>
          <t>KOSO YONEKI</t>
        </is>
      </c>
      <c r="H303" s="69" t="n"/>
      <c r="I303" s="69" t="n"/>
      <c r="J303" s="129" t="inlineStr">
        <is>
          <t>M237-6GTV-5302</t>
        </is>
      </c>
      <c r="K303" s="69" t="n"/>
      <c r="L303" s="69" t="n"/>
      <c r="M303" s="62" t="inlineStr">
        <is>
          <t>Valve Packing Replacement</t>
        </is>
      </c>
      <c r="N303" s="69" t="n"/>
      <c r="O303" s="69" t="n"/>
      <c r="P303" s="69" t="n"/>
      <c r="Q303" s="69" t="n"/>
      <c r="R303" s="69" t="n"/>
      <c r="S303" s="69" t="n"/>
      <c r="T303" s="69" t="n"/>
      <c r="U303" s="69" t="n"/>
      <c r="V303" s="69" t="n"/>
      <c r="W303" s="62" t="n">
        <v>6</v>
      </c>
      <c r="X303" s="62" t="n">
        <v>6</v>
      </c>
      <c r="Y303" s="456" t="n"/>
      <c r="Z303" s="69" t="n"/>
      <c r="AA303" s="62" t="n">
        <v>2500</v>
      </c>
      <c r="AB303" s="62" t="n">
        <v>2500</v>
      </c>
      <c r="AC303" s="73" t="n"/>
      <c r="AD303" s="69" t="n"/>
      <c r="AE303" s="69" t="n"/>
      <c r="AF303" s="73" t="n"/>
      <c r="AG303" s="69" t="n"/>
      <c r="AH303" s="85" t="n"/>
    </row>
    <row r="304">
      <c r="A304" s="82" t="n">
        <v>349</v>
      </c>
      <c r="B304" s="75" t="n">
        <v>81874213</v>
      </c>
      <c r="C304" s="62" t="inlineStr">
        <is>
          <t>TA25AWR056</t>
        </is>
      </c>
      <c r="D304" s="62" t="inlineStr">
        <is>
          <t>Ammonia</t>
        </is>
      </c>
      <c r="E304" s="62" t="inlineStr">
        <is>
          <t>Unit 13</t>
        </is>
      </c>
      <c r="F304" s="62" t="inlineStr">
        <is>
          <t>GLOBE VALVE</t>
        </is>
      </c>
      <c r="G304" s="62" t="inlineStr">
        <is>
          <t>PK VALVE</t>
        </is>
      </c>
      <c r="H304" s="69" t="n"/>
      <c r="I304" s="69" t="n"/>
      <c r="J304" s="129" t="inlineStr">
        <is>
          <t>M237-6GBV-1301</t>
        </is>
      </c>
      <c r="K304" s="69" t="n"/>
      <c r="L304" s="69" t="n"/>
      <c r="M304" s="62" t="inlineStr">
        <is>
          <t>Valve Packing Replacement</t>
        </is>
      </c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2" t="n">
        <v>6</v>
      </c>
      <c r="X304" s="62" t="n">
        <v>6</v>
      </c>
      <c r="Y304" s="456" t="n"/>
      <c r="Z304" s="69" t="n"/>
      <c r="AA304" s="62" t="n">
        <v>600</v>
      </c>
      <c r="AB304" s="62" t="n">
        <v>600</v>
      </c>
      <c r="AC304" s="73" t="n"/>
      <c r="AD304" s="69" t="n"/>
      <c r="AE304" s="69" t="n"/>
      <c r="AF304" s="73" t="n"/>
      <c r="AG304" s="69" t="n"/>
      <c r="AH304" s="85" t="n"/>
    </row>
    <row r="305">
      <c r="A305" s="82" t="n">
        <v>350</v>
      </c>
      <c r="B305" s="75" t="n">
        <v>81878557</v>
      </c>
      <c r="C305" s="62" t="inlineStr">
        <is>
          <t>TA25AWR056</t>
        </is>
      </c>
      <c r="D305" s="62" t="inlineStr">
        <is>
          <t>Ammonia</t>
        </is>
      </c>
      <c r="E305" s="62" t="inlineStr">
        <is>
          <t>Unit 53</t>
        </is>
      </c>
      <c r="F305" s="62" t="inlineStr">
        <is>
          <t>GATE VALVE</t>
        </is>
      </c>
      <c r="G305" s="62" t="inlineStr">
        <is>
          <t>PK VALVE</t>
        </is>
      </c>
      <c r="H305" s="69" t="n"/>
      <c r="I305" s="69" t="n"/>
      <c r="J305" s="129" t="inlineStr">
        <is>
          <t>M237-16GTV-3101</t>
        </is>
      </c>
      <c r="K305" s="69" t="n"/>
      <c r="L305" s="69" t="n"/>
      <c r="M305" s="62" t="inlineStr">
        <is>
          <t>Valve Packing Replacement</t>
        </is>
      </c>
      <c r="N305" s="69" t="n"/>
      <c r="O305" s="69" t="n"/>
      <c r="P305" s="69" t="n"/>
      <c r="Q305" s="69" t="n"/>
      <c r="R305" s="69" t="n"/>
      <c r="S305" s="69" t="n"/>
      <c r="T305" s="69" t="n"/>
      <c r="U305" s="69" t="n"/>
      <c r="V305" s="69" t="n"/>
      <c r="W305" s="62" t="n">
        <v>16</v>
      </c>
      <c r="X305" s="62" t="n">
        <v>16</v>
      </c>
      <c r="Y305" s="456" t="n"/>
      <c r="Z305" s="69" t="n"/>
      <c r="AA305" s="62" t="n">
        <v>300</v>
      </c>
      <c r="AB305" s="62" t="n">
        <v>300</v>
      </c>
      <c r="AC305" s="73" t="n"/>
      <c r="AD305" s="69" t="n"/>
      <c r="AE305" s="69" t="n"/>
      <c r="AF305" s="73" t="n"/>
      <c r="AG305" s="69" t="n"/>
      <c r="AH305" s="85" t="n"/>
    </row>
    <row r="306">
      <c r="A306" s="82" t="n">
        <v>351</v>
      </c>
      <c r="B306" s="75" t="n">
        <v>81878558</v>
      </c>
      <c r="C306" s="62" t="inlineStr">
        <is>
          <t>TA25AWR056</t>
        </is>
      </c>
      <c r="D306" s="62" t="inlineStr">
        <is>
          <t>Ammonia</t>
        </is>
      </c>
      <c r="E306" s="62" t="inlineStr">
        <is>
          <t>Unit 53</t>
        </is>
      </c>
      <c r="F306" s="62" t="inlineStr">
        <is>
          <t>GATE VALVE</t>
        </is>
      </c>
      <c r="G306" s="62" t="inlineStr">
        <is>
          <t>PK VALVE</t>
        </is>
      </c>
      <c r="H306" s="69" t="n"/>
      <c r="I306" s="69" t="n"/>
      <c r="J306" s="129" t="inlineStr">
        <is>
          <t>M237-6GTV-3101</t>
        </is>
      </c>
      <c r="K306" s="69" t="n"/>
      <c r="L306" s="69" t="n"/>
      <c r="M306" s="62" t="inlineStr">
        <is>
          <t>Valve Packing Replacement</t>
        </is>
      </c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2" t="n">
        <v>6</v>
      </c>
      <c r="X306" s="62" t="n">
        <v>6</v>
      </c>
      <c r="Y306" s="456" t="n"/>
      <c r="Z306" s="69" t="n"/>
      <c r="AA306" s="62" t="n">
        <v>600</v>
      </c>
      <c r="AB306" s="62" t="n">
        <v>600</v>
      </c>
      <c r="AC306" s="73" t="n"/>
      <c r="AD306" s="69" t="n"/>
      <c r="AE306" s="69" t="n"/>
      <c r="AF306" s="73" t="n"/>
      <c r="AG306" s="69" t="n"/>
      <c r="AH306" s="85" t="n"/>
    </row>
    <row r="307">
      <c r="A307" s="82" t="n">
        <v>352</v>
      </c>
      <c r="B307" s="75" t="n">
        <v>81879175</v>
      </c>
      <c r="C307" s="62" t="inlineStr">
        <is>
          <t>TA25AWR056</t>
        </is>
      </c>
      <c r="D307" s="62" t="inlineStr">
        <is>
          <t>Ammonia</t>
        </is>
      </c>
      <c r="E307" s="62" t="inlineStr">
        <is>
          <t>Unit 53</t>
        </is>
      </c>
      <c r="F307" s="62" t="inlineStr">
        <is>
          <t>GATE VALVE</t>
        </is>
      </c>
      <c r="G307" s="62" t="inlineStr">
        <is>
          <t>PK VALVE</t>
        </is>
      </c>
      <c r="H307" s="69" t="n"/>
      <c r="I307" s="69" t="n"/>
      <c r="J307" s="129" t="inlineStr">
        <is>
          <t>M237-10GTV-5301</t>
        </is>
      </c>
      <c r="K307" s="69" t="n"/>
      <c r="L307" s="69" t="n"/>
      <c r="M307" s="62" t="inlineStr">
        <is>
          <t>Valve Packing Replacement</t>
        </is>
      </c>
      <c r="N307" s="69" t="n"/>
      <c r="O307" s="69" t="n"/>
      <c r="P307" s="69" t="n"/>
      <c r="Q307" s="69" t="n"/>
      <c r="R307" s="69" t="n"/>
      <c r="S307" s="69" t="n"/>
      <c r="T307" s="69" t="n"/>
      <c r="U307" s="69" t="n"/>
      <c r="V307" s="69" t="n"/>
      <c r="W307" s="62" t="n">
        <v>10</v>
      </c>
      <c r="X307" s="62" t="n">
        <v>10</v>
      </c>
      <c r="Y307" s="456" t="n"/>
      <c r="Z307" s="69" t="n"/>
      <c r="AA307" s="62" t="n">
        <v>2500</v>
      </c>
      <c r="AB307" s="62" t="n">
        <v>2500</v>
      </c>
      <c r="AC307" s="73" t="n"/>
      <c r="AD307" s="69" t="n"/>
      <c r="AE307" s="69" t="n"/>
      <c r="AF307" s="73" t="n"/>
      <c r="AG307" s="69" t="n"/>
      <c r="AH307" s="85" t="n"/>
    </row>
    <row r="308">
      <c r="A308" s="82" t="n">
        <v>353</v>
      </c>
      <c r="B308" s="75" t="n">
        <v>81879176</v>
      </c>
      <c r="C308" s="62" t="inlineStr">
        <is>
          <t>TA25AWR056</t>
        </is>
      </c>
      <c r="D308" s="62" t="inlineStr">
        <is>
          <t>Ammonia</t>
        </is>
      </c>
      <c r="E308" s="62" t="inlineStr">
        <is>
          <t>Unit 53</t>
        </is>
      </c>
      <c r="F308" s="62" t="inlineStr">
        <is>
          <t>GATE VALVE</t>
        </is>
      </c>
      <c r="G308" s="62" t="inlineStr">
        <is>
          <t>KOSO YONEKI</t>
        </is>
      </c>
      <c r="H308" s="69" t="n"/>
      <c r="I308" s="69" t="n"/>
      <c r="J308" s="129" t="inlineStr">
        <is>
          <t>M237-4GTV-5301</t>
        </is>
      </c>
      <c r="K308" s="69" t="n"/>
      <c r="L308" s="69" t="n"/>
      <c r="M308" s="62" t="inlineStr">
        <is>
          <t>Valve Packing Replacement</t>
        </is>
      </c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2" t="n">
        <v>4</v>
      </c>
      <c r="X308" s="62" t="n">
        <v>4</v>
      </c>
      <c r="Y308" s="456" t="n"/>
      <c r="Z308" s="69" t="n"/>
      <c r="AA308" s="62" t="n">
        <v>2500</v>
      </c>
      <c r="AB308" s="62" t="n">
        <v>2500</v>
      </c>
      <c r="AC308" s="73" t="n"/>
      <c r="AD308" s="69" t="n"/>
      <c r="AE308" s="69" t="n"/>
      <c r="AF308" s="73" t="n"/>
      <c r="AG308" s="69" t="n"/>
      <c r="AH308" s="85" t="n"/>
    </row>
    <row r="309">
      <c r="A309" s="82" t="n">
        <v>354</v>
      </c>
      <c r="B309" s="75" t="n">
        <v>81879177</v>
      </c>
      <c r="C309" s="62" t="inlineStr">
        <is>
          <t>TA25AWR056</t>
        </is>
      </c>
      <c r="D309" s="62" t="inlineStr">
        <is>
          <t>Ammonia</t>
        </is>
      </c>
      <c r="E309" s="62" t="inlineStr">
        <is>
          <t>Unit 53</t>
        </is>
      </c>
      <c r="F309" s="62" t="inlineStr">
        <is>
          <t>GATE VALVE</t>
        </is>
      </c>
      <c r="G309" s="62" t="inlineStr">
        <is>
          <t>KOSO YONEKI</t>
        </is>
      </c>
      <c r="H309" s="69" t="n"/>
      <c r="I309" s="69" t="n"/>
      <c r="J309" s="129" t="inlineStr">
        <is>
          <t>M227-18GTV-5301</t>
        </is>
      </c>
      <c r="K309" s="69" t="n"/>
      <c r="L309" s="69" t="n"/>
      <c r="M309" s="62" t="inlineStr">
        <is>
          <t>Valve Packing Replacement</t>
        </is>
      </c>
      <c r="N309" s="69" t="n"/>
      <c r="O309" s="69" t="n"/>
      <c r="P309" s="69" t="n"/>
      <c r="Q309" s="69" t="n"/>
      <c r="R309" s="69" t="n"/>
      <c r="S309" s="69" t="n"/>
      <c r="T309" s="69" t="n"/>
      <c r="U309" s="69" t="n"/>
      <c r="V309" s="69" t="n"/>
      <c r="W309" s="62" t="n">
        <v>18</v>
      </c>
      <c r="X309" s="62" t="n">
        <v>18</v>
      </c>
      <c r="Y309" s="456" t="n"/>
      <c r="Z309" s="69" t="n"/>
      <c r="AA309" s="62" t="n">
        <v>2500</v>
      </c>
      <c r="AB309" s="62" t="n">
        <v>2500</v>
      </c>
      <c r="AC309" s="73" t="n"/>
      <c r="AD309" s="69" t="n"/>
      <c r="AE309" s="69" t="n"/>
      <c r="AF309" s="73" t="n"/>
      <c r="AG309" s="69" t="n"/>
      <c r="AH309" s="85" t="n"/>
    </row>
    <row r="310">
      <c r="A310" s="82" t="n">
        <v>355</v>
      </c>
      <c r="B310" s="75" t="n">
        <v>81879178</v>
      </c>
      <c r="C310" s="62" t="inlineStr">
        <is>
          <t>TA25AWR056</t>
        </is>
      </c>
      <c r="D310" s="62" t="inlineStr">
        <is>
          <t>Ammonia</t>
        </is>
      </c>
      <c r="E310" s="62" t="inlineStr">
        <is>
          <t>Unit 13</t>
        </is>
      </c>
      <c r="F310" s="62" t="inlineStr">
        <is>
          <t>GATE VALVE</t>
        </is>
      </c>
      <c r="G310" s="62" t="inlineStr">
        <is>
          <t>PK VALVE</t>
        </is>
      </c>
      <c r="H310" s="69" t="n"/>
      <c r="I310" s="69" t="n"/>
      <c r="J310" s="129" t="inlineStr">
        <is>
          <t>M237-12GTV-1311</t>
        </is>
      </c>
      <c r="K310" s="69" t="n"/>
      <c r="L310" s="69" t="n"/>
      <c r="M310" s="62" t="inlineStr">
        <is>
          <t>Valve Packing Replacement</t>
        </is>
      </c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2" t="n">
        <v>12</v>
      </c>
      <c r="X310" s="62" t="n">
        <v>12</v>
      </c>
      <c r="Y310" s="456" t="n"/>
      <c r="Z310" s="69" t="n"/>
      <c r="AA310" s="62" t="n">
        <v>600</v>
      </c>
      <c r="AB310" s="62" t="n">
        <v>600</v>
      </c>
      <c r="AC310" s="73" t="n"/>
      <c r="AD310" s="69" t="n"/>
      <c r="AE310" s="69" t="n"/>
      <c r="AF310" s="73" t="n"/>
      <c r="AG310" s="69" t="n"/>
      <c r="AH310" s="85" t="n"/>
    </row>
    <row r="311">
      <c r="A311" s="82" t="n">
        <v>356</v>
      </c>
      <c r="B311" s="75" t="n">
        <v>81879179</v>
      </c>
      <c r="C311" s="62" t="inlineStr">
        <is>
          <t>TA25AWR056</t>
        </is>
      </c>
      <c r="D311" s="62" t="inlineStr">
        <is>
          <t>Ammonia</t>
        </is>
      </c>
      <c r="E311" s="62" t="inlineStr">
        <is>
          <t>Unit 13</t>
        </is>
      </c>
      <c r="F311" s="62" t="inlineStr">
        <is>
          <t>GATE VALVE</t>
        </is>
      </c>
      <c r="G311" s="62" t="inlineStr">
        <is>
          <t>PK VALVE</t>
        </is>
      </c>
      <c r="H311" s="69" t="n"/>
      <c r="I311" s="69" t="n"/>
      <c r="J311" s="129" t="inlineStr">
        <is>
          <t>M237-12GTV-1312</t>
        </is>
      </c>
      <c r="K311" s="69" t="n"/>
      <c r="L311" s="69" t="n"/>
      <c r="M311" s="62" t="inlineStr">
        <is>
          <t>Valve Packing Replacement</t>
        </is>
      </c>
      <c r="N311" s="69" t="n"/>
      <c r="O311" s="69" t="n"/>
      <c r="P311" s="69" t="n"/>
      <c r="Q311" s="69" t="n"/>
      <c r="R311" s="69" t="n"/>
      <c r="S311" s="69" t="n"/>
      <c r="T311" s="69" t="n"/>
      <c r="U311" s="69" t="n"/>
      <c r="V311" s="69" t="n"/>
      <c r="W311" s="62" t="n">
        <v>12</v>
      </c>
      <c r="X311" s="62" t="n">
        <v>12</v>
      </c>
      <c r="Y311" s="456" t="n"/>
      <c r="Z311" s="69" t="n"/>
      <c r="AA311" s="62" t="n">
        <v>600</v>
      </c>
      <c r="AB311" s="62" t="n">
        <v>600</v>
      </c>
      <c r="AC311" s="73" t="n"/>
      <c r="AD311" s="69" t="n"/>
      <c r="AE311" s="69" t="n"/>
      <c r="AF311" s="73" t="n"/>
      <c r="AG311" s="69" t="n"/>
      <c r="AH311" s="85" t="n"/>
    </row>
    <row r="312">
      <c r="A312" s="82" t="n">
        <v>357</v>
      </c>
      <c r="B312" s="75" t="n">
        <v>81879180</v>
      </c>
      <c r="C312" s="62" t="inlineStr">
        <is>
          <t>TA25AWR056</t>
        </is>
      </c>
      <c r="D312" s="62" t="inlineStr">
        <is>
          <t>Ammonia</t>
        </is>
      </c>
      <c r="E312" s="62" t="inlineStr">
        <is>
          <t>Unit 19</t>
        </is>
      </c>
      <c r="F312" s="62" t="inlineStr">
        <is>
          <t>GLOBE VALVE</t>
        </is>
      </c>
      <c r="G312" s="62" t="inlineStr">
        <is>
          <t>PK VALVE</t>
        </is>
      </c>
      <c r="H312" s="69" t="n"/>
      <c r="I312" s="69" t="n"/>
      <c r="J312" s="129" t="inlineStr">
        <is>
          <t>M237-6GBV-1901</t>
        </is>
      </c>
      <c r="K312" s="69" t="n"/>
      <c r="L312" s="69" t="n"/>
      <c r="M312" s="62" t="inlineStr">
        <is>
          <t>Valve Packing Replacement</t>
        </is>
      </c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2" t="n">
        <v>6</v>
      </c>
      <c r="X312" s="62" t="n">
        <v>6</v>
      </c>
      <c r="Y312" s="456" t="n"/>
      <c r="Z312" s="69" t="n"/>
      <c r="AA312" s="62" t="n">
        <v>300</v>
      </c>
      <c r="AB312" s="62" t="n">
        <v>300</v>
      </c>
      <c r="AC312" s="73" t="n"/>
      <c r="AD312" s="69" t="n"/>
      <c r="AE312" s="69" t="n"/>
      <c r="AF312" s="73" t="n"/>
      <c r="AG312" s="69" t="n"/>
      <c r="AH312" s="85" t="n"/>
    </row>
    <row r="313">
      <c r="A313" s="82" t="n">
        <v>358</v>
      </c>
      <c r="B313" s="75" t="n">
        <v>81879381</v>
      </c>
      <c r="C313" s="62" t="inlineStr">
        <is>
          <t>TA25AWR056</t>
        </is>
      </c>
      <c r="D313" s="62" t="inlineStr">
        <is>
          <t>Ammonia</t>
        </is>
      </c>
      <c r="E313" s="62" t="inlineStr">
        <is>
          <t>Unit 19</t>
        </is>
      </c>
      <c r="F313" s="62" t="inlineStr">
        <is>
          <t>GATE VALVE</t>
        </is>
      </c>
      <c r="G313" s="62" t="inlineStr">
        <is>
          <t>PK VALVE</t>
        </is>
      </c>
      <c r="H313" s="69" t="n"/>
      <c r="I313" s="69" t="n"/>
      <c r="J313" s="129" t="inlineStr">
        <is>
          <t>M237-4GTV-1904</t>
        </is>
      </c>
      <c r="K313" s="69" t="n"/>
      <c r="L313" s="69" t="n"/>
      <c r="M313" s="62" t="inlineStr">
        <is>
          <t>Valve Packing Replacement</t>
        </is>
      </c>
      <c r="N313" s="69" t="n"/>
      <c r="O313" s="69" t="n"/>
      <c r="P313" s="69" t="n"/>
      <c r="Q313" s="69" t="n"/>
      <c r="R313" s="69" t="n"/>
      <c r="S313" s="69" t="n"/>
      <c r="T313" s="69" t="n"/>
      <c r="U313" s="69" t="n"/>
      <c r="V313" s="69" t="n"/>
      <c r="W313" s="62" t="n">
        <v>4</v>
      </c>
      <c r="X313" s="62" t="n">
        <v>4</v>
      </c>
      <c r="Y313" s="456" t="n"/>
      <c r="Z313" s="69" t="n"/>
      <c r="AA313" s="62" t="n">
        <v>300</v>
      </c>
      <c r="AB313" s="62" t="n">
        <v>300</v>
      </c>
      <c r="AC313" s="73" t="n"/>
      <c r="AD313" s="69" t="n"/>
      <c r="AE313" s="69" t="n"/>
      <c r="AF313" s="73" t="n"/>
      <c r="AG313" s="69" t="n"/>
      <c r="AH313" s="85" t="n"/>
    </row>
    <row r="314">
      <c r="A314" s="82" t="n">
        <v>359</v>
      </c>
      <c r="B314" s="75" t="n">
        <v>81879382</v>
      </c>
      <c r="C314" s="62" t="inlineStr">
        <is>
          <t>TA25AWR056</t>
        </is>
      </c>
      <c r="D314" s="62" t="inlineStr">
        <is>
          <t>Ammonia</t>
        </is>
      </c>
      <c r="E314" s="62" t="inlineStr">
        <is>
          <t>Unit 19</t>
        </is>
      </c>
      <c r="F314" s="62" t="inlineStr">
        <is>
          <t>GATE VALVE</t>
        </is>
      </c>
      <c r="G314" s="62" t="inlineStr">
        <is>
          <t>PK VALVE</t>
        </is>
      </c>
      <c r="H314" s="69" t="n"/>
      <c r="I314" s="69" t="n"/>
      <c r="J314" s="129" t="inlineStr">
        <is>
          <t>M237-6GTV-1901</t>
        </is>
      </c>
      <c r="K314" s="69" t="n"/>
      <c r="L314" s="69" t="n"/>
      <c r="M314" s="62" t="inlineStr">
        <is>
          <t>Valve Packing Replacement</t>
        </is>
      </c>
      <c r="N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W314" s="62" t="n">
        <v>6</v>
      </c>
      <c r="X314" s="62" t="n">
        <v>6</v>
      </c>
      <c r="Y314" s="456" t="n"/>
      <c r="Z314" s="69" t="n"/>
      <c r="AA314" s="62" t="n">
        <v>300</v>
      </c>
      <c r="AB314" s="62" t="n">
        <v>300</v>
      </c>
      <c r="AC314" s="73" t="n"/>
      <c r="AD314" s="69" t="n"/>
      <c r="AE314" s="69" t="n"/>
      <c r="AF314" s="73" t="n"/>
      <c r="AG314" s="69" t="n"/>
      <c r="AH314" s="85" t="n"/>
    </row>
    <row r="315">
      <c r="A315" s="82" t="n">
        <v>360</v>
      </c>
      <c r="B315" s="75" t="n">
        <v>81879383</v>
      </c>
      <c r="C315" s="62" t="inlineStr">
        <is>
          <t>TA25AWR056</t>
        </is>
      </c>
      <c r="D315" s="62" t="inlineStr">
        <is>
          <t>Ammonia</t>
        </is>
      </c>
      <c r="E315" s="62" t="inlineStr">
        <is>
          <t>Unit 19</t>
        </is>
      </c>
      <c r="F315" s="62" t="inlineStr">
        <is>
          <t>GATE VALVE</t>
        </is>
      </c>
      <c r="G315" s="62" t="inlineStr">
        <is>
          <t>PK VALVE</t>
        </is>
      </c>
      <c r="H315" s="69" t="n"/>
      <c r="I315" s="69" t="n"/>
      <c r="J315" s="129" t="inlineStr">
        <is>
          <t>M237-4GTV-1906</t>
        </is>
      </c>
      <c r="K315" s="69" t="n"/>
      <c r="L315" s="69" t="n"/>
      <c r="M315" s="62" t="inlineStr">
        <is>
          <t>Valve Packing Replacement</t>
        </is>
      </c>
      <c r="N315" s="69" t="n"/>
      <c r="O315" s="69" t="n"/>
      <c r="P315" s="69" t="n"/>
      <c r="Q315" s="69" t="n"/>
      <c r="R315" s="69" t="n"/>
      <c r="S315" s="69" t="n"/>
      <c r="T315" s="69" t="n"/>
      <c r="U315" s="69" t="n"/>
      <c r="V315" s="69" t="n"/>
      <c r="W315" s="62" t="n">
        <v>4</v>
      </c>
      <c r="X315" s="62" t="n">
        <v>4</v>
      </c>
      <c r="Y315" s="456" t="n"/>
      <c r="Z315" s="69" t="n"/>
      <c r="AA315" s="62" t="n">
        <v>300</v>
      </c>
      <c r="AB315" s="62" t="n">
        <v>300</v>
      </c>
      <c r="AC315" s="73" t="n"/>
      <c r="AD315" s="69" t="n"/>
      <c r="AE315" s="69" t="n"/>
      <c r="AF315" s="73" t="n"/>
      <c r="AG315" s="69" t="n"/>
      <c r="AH315" s="85" t="n"/>
    </row>
    <row r="316">
      <c r="A316" s="83" t="n">
        <v>361</v>
      </c>
      <c r="B316" s="76" t="n">
        <v>81879384</v>
      </c>
      <c r="C316" s="63" t="inlineStr">
        <is>
          <t>TA25AWR056</t>
        </is>
      </c>
      <c r="D316" s="63" t="inlineStr">
        <is>
          <t>Ammonia</t>
        </is>
      </c>
      <c r="E316" s="63" t="inlineStr">
        <is>
          <t>Unit 53</t>
        </is>
      </c>
      <c r="F316" s="63" t="inlineStr">
        <is>
          <t>GLOBE VALVE</t>
        </is>
      </c>
      <c r="G316" s="63" t="inlineStr">
        <is>
          <t>KOSO YONEKI</t>
        </is>
      </c>
      <c r="H316" s="69" t="n"/>
      <c r="I316" s="69" t="n"/>
      <c r="J316" s="130" t="inlineStr">
        <is>
          <t>M237-8GBV-5301</t>
        </is>
      </c>
      <c r="K316" s="69" t="n"/>
      <c r="L316" s="69" t="n"/>
      <c r="M316" s="63" t="inlineStr">
        <is>
          <t>Valve Packing Replacement</t>
        </is>
      </c>
      <c r="N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W316" s="63" t="n">
        <v>8</v>
      </c>
      <c r="X316" s="63" t="n">
        <v>8</v>
      </c>
      <c r="Y316" s="456" t="n"/>
      <c r="Z316" s="69" t="n"/>
      <c r="AA316" s="63" t="n">
        <v>600</v>
      </c>
      <c r="AB316" s="63" t="n">
        <v>600</v>
      </c>
      <c r="AC316" s="73" t="n"/>
      <c r="AD316" s="69" t="n"/>
      <c r="AE316" s="69" t="n"/>
      <c r="AF316" s="73" t="n"/>
      <c r="AG316" s="69" t="n"/>
      <c r="AH316" s="85" t="n"/>
    </row>
    <row r="317">
      <c r="A317" s="82" t="n">
        <v>362</v>
      </c>
      <c r="B317" s="75" t="n">
        <v>81879385</v>
      </c>
      <c r="C317" s="62" t="inlineStr">
        <is>
          <t>TA25AWR056</t>
        </is>
      </c>
      <c r="D317" s="62" t="inlineStr">
        <is>
          <t>Ammonia</t>
        </is>
      </c>
      <c r="E317" s="62" t="inlineStr">
        <is>
          <t>Unit 53</t>
        </is>
      </c>
      <c r="F317" s="62" t="inlineStr">
        <is>
          <t>GATE VALVE</t>
        </is>
      </c>
      <c r="G317" s="62" t="inlineStr">
        <is>
          <t>PK VALVE</t>
        </is>
      </c>
      <c r="H317" s="69" t="n"/>
      <c r="I317" s="69" t="n"/>
      <c r="J317" s="129" t="inlineStr">
        <is>
          <t>M237-8GTV-1301</t>
        </is>
      </c>
      <c r="K317" s="69" t="n"/>
      <c r="L317" s="69" t="n"/>
      <c r="M317" s="62" t="inlineStr">
        <is>
          <t>Valve Packing Replacement</t>
        </is>
      </c>
      <c r="N317" s="69" t="n"/>
      <c r="O317" s="69" t="n"/>
      <c r="P317" s="69" t="n"/>
      <c r="Q317" s="69" t="n"/>
      <c r="R317" s="69" t="n"/>
      <c r="S317" s="69" t="n"/>
      <c r="T317" s="69" t="n"/>
      <c r="U317" s="69" t="n"/>
      <c r="V317" s="69" t="n"/>
      <c r="W317" s="62" t="n">
        <v>8</v>
      </c>
      <c r="X317" s="62" t="n">
        <v>8</v>
      </c>
      <c r="Y317" s="456" t="n"/>
      <c r="Z317" s="69" t="n"/>
      <c r="AA317" s="62" t="n">
        <v>600</v>
      </c>
      <c r="AB317" s="62" t="n">
        <v>600</v>
      </c>
      <c r="AC317" s="73" t="n"/>
      <c r="AD317" s="69" t="n"/>
      <c r="AE317" s="69" t="n"/>
      <c r="AF317" s="73" t="n"/>
      <c r="AG317" s="69" t="n"/>
      <c r="AH317" s="85" t="n"/>
    </row>
    <row r="318">
      <c r="A318" s="82" t="n">
        <v>363</v>
      </c>
      <c r="B318" s="75" t="n">
        <v>81879386</v>
      </c>
      <c r="C318" s="62" t="inlineStr">
        <is>
          <t>TA25AWR056</t>
        </is>
      </c>
      <c r="D318" s="62" t="inlineStr">
        <is>
          <t>Ammonia</t>
        </is>
      </c>
      <c r="E318" s="62" t="inlineStr">
        <is>
          <t>Unit 19</t>
        </is>
      </c>
      <c r="F318" s="62" t="inlineStr">
        <is>
          <t>GATE VALVE</t>
        </is>
      </c>
      <c r="G318" s="62" t="inlineStr">
        <is>
          <t>PK VALVE</t>
        </is>
      </c>
      <c r="H318" s="69" t="n"/>
      <c r="I318" s="69" t="n"/>
      <c r="J318" s="129" t="inlineStr">
        <is>
          <t>M237-8GTV-1908</t>
        </is>
      </c>
      <c r="K318" s="69" t="n"/>
      <c r="L318" s="69" t="n"/>
      <c r="M318" s="62" t="inlineStr">
        <is>
          <t>Valve Packing Replacement</t>
        </is>
      </c>
      <c r="N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W318" s="62" t="n">
        <v>8</v>
      </c>
      <c r="X318" s="62" t="n">
        <v>8</v>
      </c>
      <c r="Y318" s="456" t="n"/>
      <c r="Z318" s="69" t="n"/>
      <c r="AA318" s="62" t="n">
        <v>300</v>
      </c>
      <c r="AB318" s="62" t="n">
        <v>300</v>
      </c>
      <c r="AC318" s="73" t="n"/>
      <c r="AD318" s="69" t="n"/>
      <c r="AE318" s="69" t="n"/>
      <c r="AF318" s="73" t="n"/>
      <c r="AG318" s="69" t="n"/>
      <c r="AH318" s="85" t="n"/>
    </row>
    <row r="319">
      <c r="A319" s="82" t="n">
        <v>364</v>
      </c>
      <c r="B319" s="75" t="n">
        <v>81879387</v>
      </c>
      <c r="C319" s="62" t="inlineStr">
        <is>
          <t>TA25AWR056</t>
        </is>
      </c>
      <c r="D319" s="62" t="inlineStr">
        <is>
          <t>Ammonia</t>
        </is>
      </c>
      <c r="E319" s="62" t="inlineStr">
        <is>
          <t>Unit 19</t>
        </is>
      </c>
      <c r="F319" s="62" t="inlineStr">
        <is>
          <t>GATE VALVE</t>
        </is>
      </c>
      <c r="G319" s="62" t="inlineStr">
        <is>
          <t>PK VALVE</t>
        </is>
      </c>
      <c r="H319" s="69" t="n"/>
      <c r="I319" s="69" t="n"/>
      <c r="J319" s="129" t="inlineStr">
        <is>
          <t>M237-8GTV-1904</t>
        </is>
      </c>
      <c r="K319" s="69" t="n"/>
      <c r="L319" s="69" t="n"/>
      <c r="M319" s="62" t="inlineStr">
        <is>
          <t>Valve Packing Replacement</t>
        </is>
      </c>
      <c r="N319" s="69" t="n"/>
      <c r="O319" s="69" t="n"/>
      <c r="P319" s="69" t="n"/>
      <c r="Q319" s="69" t="n"/>
      <c r="R319" s="69" t="n"/>
      <c r="S319" s="69" t="n"/>
      <c r="T319" s="69" t="n"/>
      <c r="U319" s="69" t="n"/>
      <c r="V319" s="69" t="n"/>
      <c r="W319" s="62" t="n">
        <v>8</v>
      </c>
      <c r="X319" s="62" t="n">
        <v>8</v>
      </c>
      <c r="Y319" s="456" t="n"/>
      <c r="Z319" s="69" t="n"/>
      <c r="AA319" s="62" t="n">
        <v>300</v>
      </c>
      <c r="AB319" s="62" t="n">
        <v>300</v>
      </c>
      <c r="AC319" s="73" t="n"/>
      <c r="AD319" s="69" t="n"/>
      <c r="AE319" s="69" t="n"/>
      <c r="AF319" s="73" t="n"/>
      <c r="AG319" s="69" t="n"/>
      <c r="AH319" s="85" t="n"/>
    </row>
    <row r="320">
      <c r="A320" s="82" t="n">
        <v>365</v>
      </c>
      <c r="B320" s="75" t="n">
        <v>81879388</v>
      </c>
      <c r="C320" s="62" t="inlineStr">
        <is>
          <t>TA25AWR056</t>
        </is>
      </c>
      <c r="D320" s="62" t="inlineStr">
        <is>
          <t>Ammonia</t>
        </is>
      </c>
      <c r="E320" s="62" t="inlineStr">
        <is>
          <t>Unit 19</t>
        </is>
      </c>
      <c r="F320" s="62" t="inlineStr">
        <is>
          <t>GATE VALVE</t>
        </is>
      </c>
      <c r="G320" s="62" t="inlineStr">
        <is>
          <t>PK VALVE</t>
        </is>
      </c>
      <c r="H320" s="69" t="n"/>
      <c r="I320" s="69" t="n"/>
      <c r="J320" s="129" t="inlineStr">
        <is>
          <t>M237-8GTV-1907</t>
        </is>
      </c>
      <c r="K320" s="69" t="n"/>
      <c r="L320" s="69" t="n"/>
      <c r="M320" s="62" t="inlineStr">
        <is>
          <t>Valve Packing Replacement</t>
        </is>
      </c>
      <c r="N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W320" s="62" t="n">
        <v>8</v>
      </c>
      <c r="X320" s="62" t="n">
        <v>8</v>
      </c>
      <c r="Y320" s="456" t="n"/>
      <c r="Z320" s="69" t="n"/>
      <c r="AA320" s="62" t="n">
        <v>300</v>
      </c>
      <c r="AB320" s="62" t="n">
        <v>300</v>
      </c>
      <c r="AC320" s="73" t="n"/>
      <c r="AD320" s="69" t="n"/>
      <c r="AE320" s="69" t="n"/>
      <c r="AF320" s="73" t="n"/>
      <c r="AG320" s="69" t="n"/>
      <c r="AH320" s="85" t="n"/>
    </row>
    <row r="321">
      <c r="A321" s="82" t="n">
        <v>366</v>
      </c>
      <c r="B321" s="75" t="n">
        <v>81879389</v>
      </c>
      <c r="C321" s="62" t="inlineStr">
        <is>
          <t>TA25AWR056</t>
        </is>
      </c>
      <c r="D321" s="62" t="inlineStr">
        <is>
          <t>Ammonia</t>
        </is>
      </c>
      <c r="E321" s="62" t="inlineStr">
        <is>
          <t>Unit 53</t>
        </is>
      </c>
      <c r="F321" s="62" t="inlineStr">
        <is>
          <t>GATE VALVE</t>
        </is>
      </c>
      <c r="G321" s="62" t="inlineStr">
        <is>
          <t>BFE</t>
        </is>
      </c>
      <c r="H321" s="69" t="n"/>
      <c r="I321" s="69" t="n"/>
      <c r="J321" s="129" t="inlineStr">
        <is>
          <t>M237-1GTV-3101</t>
        </is>
      </c>
      <c r="K321" s="69" t="n"/>
      <c r="L321" s="69" t="n"/>
      <c r="M321" s="62" t="inlineStr">
        <is>
          <t>Valve Packing Replacement</t>
        </is>
      </c>
      <c r="N321" s="69" t="n"/>
      <c r="O321" s="69" t="n"/>
      <c r="P321" s="69" t="n"/>
      <c r="Q321" s="69" t="n"/>
      <c r="R321" s="69" t="n"/>
      <c r="S321" s="69" t="n"/>
      <c r="T321" s="69" t="n"/>
      <c r="U321" s="69" t="n"/>
      <c r="V321" s="69" t="n"/>
      <c r="W321" s="62" t="n">
        <v>1</v>
      </c>
      <c r="X321" s="62" t="n">
        <v>1</v>
      </c>
      <c r="Y321" s="456" t="n"/>
      <c r="Z321" s="69" t="n"/>
      <c r="AA321" s="62" t="n">
        <v>2500</v>
      </c>
      <c r="AB321" s="62" t="n">
        <v>2500</v>
      </c>
      <c r="AC321" s="73" t="n"/>
      <c r="AD321" s="69" t="n"/>
      <c r="AE321" s="69" t="n"/>
      <c r="AF321" s="73" t="n"/>
      <c r="AG321" s="69" t="n"/>
      <c r="AH321" s="85" t="n"/>
    </row>
    <row r="322">
      <c r="A322" s="82" t="n">
        <v>367</v>
      </c>
      <c r="B322" s="75" t="n">
        <v>81879390</v>
      </c>
      <c r="C322" s="62" t="inlineStr">
        <is>
          <t>TA25AWR056</t>
        </is>
      </c>
      <c r="D322" s="62" t="inlineStr">
        <is>
          <t>Ammonia</t>
        </is>
      </c>
      <c r="E322" s="62" t="inlineStr">
        <is>
          <t>Unit 19</t>
        </is>
      </c>
      <c r="F322" s="62" t="inlineStr">
        <is>
          <t>GATE VALVE</t>
        </is>
      </c>
      <c r="G322" s="62" t="inlineStr">
        <is>
          <t>PK VALVE</t>
        </is>
      </c>
      <c r="H322" s="69" t="n"/>
      <c r="I322" s="69" t="n"/>
      <c r="J322" s="129" t="inlineStr">
        <is>
          <t>M237-8GTV-1905</t>
        </is>
      </c>
      <c r="K322" s="69" t="n"/>
      <c r="L322" s="69" t="n"/>
      <c r="M322" s="62" t="inlineStr">
        <is>
          <t>Valve Packing Replacement</t>
        </is>
      </c>
      <c r="N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W322" s="62" t="n">
        <v>8</v>
      </c>
      <c r="X322" s="62" t="n">
        <v>8</v>
      </c>
      <c r="Y322" s="456" t="n"/>
      <c r="Z322" s="69" t="n"/>
      <c r="AA322" s="62" t="n">
        <v>300</v>
      </c>
      <c r="AB322" s="62" t="n">
        <v>300</v>
      </c>
      <c r="AC322" s="73" t="n"/>
      <c r="AD322" s="69" t="n"/>
      <c r="AE322" s="69" t="n"/>
      <c r="AF322" s="73" t="n"/>
      <c r="AG322" s="69" t="n"/>
      <c r="AH322" s="85" t="n"/>
    </row>
    <row r="323">
      <c r="A323" s="82" t="n">
        <v>368</v>
      </c>
      <c r="B323" s="75" t="n">
        <v>81879391</v>
      </c>
      <c r="C323" s="62" t="inlineStr">
        <is>
          <t>TA25AWR056</t>
        </is>
      </c>
      <c r="D323" s="62" t="inlineStr">
        <is>
          <t>Ammonia</t>
        </is>
      </c>
      <c r="E323" s="62" t="inlineStr">
        <is>
          <t>Unit 53</t>
        </is>
      </c>
      <c r="F323" s="62" t="inlineStr">
        <is>
          <t>GATE VALVE</t>
        </is>
      </c>
      <c r="G323" s="62" t="inlineStr">
        <is>
          <t>PK VALVE</t>
        </is>
      </c>
      <c r="H323" s="69" t="n"/>
      <c r="I323" s="69" t="n"/>
      <c r="J323" s="129" t="inlineStr">
        <is>
          <t>M237-8GTV-5303</t>
        </is>
      </c>
      <c r="K323" s="69" t="n"/>
      <c r="L323" s="69" t="n"/>
      <c r="M323" s="62" t="inlineStr">
        <is>
          <t>Valve Packing Replacement</t>
        </is>
      </c>
      <c r="N323" s="69" t="n"/>
      <c r="O323" s="69" t="n"/>
      <c r="P323" s="69" t="n"/>
      <c r="Q323" s="69" t="n"/>
      <c r="R323" s="69" t="n"/>
      <c r="S323" s="69" t="n"/>
      <c r="T323" s="69" t="n"/>
      <c r="U323" s="69" t="n"/>
      <c r="V323" s="69" t="n"/>
      <c r="W323" s="62" t="n">
        <v>8</v>
      </c>
      <c r="X323" s="62" t="n">
        <v>8</v>
      </c>
      <c r="Y323" s="456" t="n"/>
      <c r="Z323" s="69" t="n"/>
      <c r="AA323" s="62" t="n">
        <v>600</v>
      </c>
      <c r="AB323" s="62" t="n">
        <v>600</v>
      </c>
      <c r="AC323" s="73" t="n"/>
      <c r="AD323" s="69" t="n"/>
      <c r="AE323" s="69" t="n"/>
      <c r="AF323" s="73" t="n"/>
      <c r="AG323" s="69" t="n"/>
      <c r="AH323" s="85" t="n"/>
    </row>
    <row r="324">
      <c r="A324" s="82" t="n">
        <v>369</v>
      </c>
      <c r="B324" s="75" t="n">
        <v>81879392</v>
      </c>
      <c r="C324" s="62" t="inlineStr">
        <is>
          <t>TA25AWR056</t>
        </is>
      </c>
      <c r="D324" s="62" t="inlineStr">
        <is>
          <t>Ammonia</t>
        </is>
      </c>
      <c r="E324" s="62" t="inlineStr">
        <is>
          <t>Unit 13</t>
        </is>
      </c>
      <c r="F324" s="62" t="inlineStr">
        <is>
          <t>GATE VALVE</t>
        </is>
      </c>
      <c r="G324" s="62" t="inlineStr">
        <is>
          <t>PK VALVE</t>
        </is>
      </c>
      <c r="H324" s="69" t="n"/>
      <c r="I324" s="69" t="n"/>
      <c r="J324" s="129" t="inlineStr">
        <is>
          <t>M237-10GTV-1313</t>
        </is>
      </c>
      <c r="K324" s="69" t="n"/>
      <c r="L324" s="69" t="n"/>
      <c r="M324" s="62" t="inlineStr">
        <is>
          <t>Valve Packing Replacement</t>
        </is>
      </c>
      <c r="N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W324" s="62" t="n">
        <v>10</v>
      </c>
      <c r="X324" s="62" t="n">
        <v>10</v>
      </c>
      <c r="Y324" s="456" t="n"/>
      <c r="Z324" s="69" t="n"/>
      <c r="AA324" s="62" t="n">
        <v>600</v>
      </c>
      <c r="AB324" s="62" t="n">
        <v>600</v>
      </c>
      <c r="AC324" s="73" t="n"/>
      <c r="AD324" s="69" t="n"/>
      <c r="AE324" s="69" t="n"/>
      <c r="AF324" s="73" t="n"/>
      <c r="AG324" s="69" t="n"/>
      <c r="AH324" s="85" t="n"/>
    </row>
    <row r="325">
      <c r="A325" s="82" t="n">
        <v>370</v>
      </c>
      <c r="B325" s="75" t="n">
        <v>81879393</v>
      </c>
      <c r="C325" s="62" t="inlineStr">
        <is>
          <t>TA25AWR056</t>
        </is>
      </c>
      <c r="D325" s="62" t="inlineStr">
        <is>
          <t>Ammonia</t>
        </is>
      </c>
      <c r="E325" s="62" t="inlineStr">
        <is>
          <t>Unit 53</t>
        </is>
      </c>
      <c r="F325" s="62" t="inlineStr">
        <is>
          <t>GATE VALVE</t>
        </is>
      </c>
      <c r="G325" s="62" t="inlineStr">
        <is>
          <t>KOSO YONEKI</t>
        </is>
      </c>
      <c r="H325" s="69" t="n"/>
      <c r="I325" s="69" t="n"/>
      <c r="J325" s="129" t="inlineStr">
        <is>
          <t>M237-4GTV-5302</t>
        </is>
      </c>
      <c r="K325" s="69" t="n"/>
      <c r="L325" s="69" t="n"/>
      <c r="M325" s="62" t="inlineStr">
        <is>
          <t>Valve Packing Replacement</t>
        </is>
      </c>
      <c r="N325" s="69" t="n"/>
      <c r="O325" s="69" t="n"/>
      <c r="P325" s="69" t="n"/>
      <c r="Q325" s="69" t="n"/>
      <c r="R325" s="69" t="n"/>
      <c r="S325" s="69" t="n"/>
      <c r="T325" s="69" t="n"/>
      <c r="U325" s="69" t="n"/>
      <c r="V325" s="69" t="n"/>
      <c r="W325" s="62" t="n">
        <v>4</v>
      </c>
      <c r="X325" s="62" t="n">
        <v>4</v>
      </c>
      <c r="Y325" s="456" t="n"/>
      <c r="Z325" s="69" t="n"/>
      <c r="AA325" s="62" t="n">
        <v>2500</v>
      </c>
      <c r="AB325" s="62" t="n">
        <v>2500</v>
      </c>
      <c r="AC325" s="73" t="n"/>
      <c r="AD325" s="69" t="n"/>
      <c r="AE325" s="69" t="n"/>
      <c r="AF325" s="73" t="n"/>
      <c r="AG325" s="69" t="n"/>
      <c r="AH325" s="85" t="n"/>
    </row>
    <row r="326">
      <c r="A326" s="82" t="n">
        <v>371</v>
      </c>
      <c r="B326" s="75" t="n">
        <v>81879394</v>
      </c>
      <c r="C326" s="62" t="inlineStr">
        <is>
          <t>TA25AWR056</t>
        </is>
      </c>
      <c r="D326" s="62" t="inlineStr">
        <is>
          <t>Ammonia</t>
        </is>
      </c>
      <c r="E326" s="62" t="inlineStr">
        <is>
          <t>Unit 19</t>
        </is>
      </c>
      <c r="F326" s="62" t="inlineStr">
        <is>
          <t>GATE VALVE</t>
        </is>
      </c>
      <c r="G326" s="62" t="inlineStr">
        <is>
          <t>PK VALVE</t>
        </is>
      </c>
      <c r="H326" s="69" t="n"/>
      <c r="I326" s="69" t="n"/>
      <c r="J326" s="129" t="inlineStr">
        <is>
          <t>M237-16GTV-1902</t>
        </is>
      </c>
      <c r="K326" s="69" t="n"/>
      <c r="L326" s="69" t="n"/>
      <c r="M326" s="62" t="inlineStr">
        <is>
          <t>Valve Packing Replacement</t>
        </is>
      </c>
      <c r="N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W326" s="62" t="n">
        <v>16</v>
      </c>
      <c r="X326" s="62" t="n">
        <v>16</v>
      </c>
      <c r="Y326" s="456" t="n"/>
      <c r="Z326" s="69" t="n"/>
      <c r="AA326" s="62" t="n">
        <v>300</v>
      </c>
      <c r="AB326" s="62" t="n">
        <v>300</v>
      </c>
      <c r="AC326" s="73" t="n"/>
      <c r="AD326" s="69" t="n"/>
      <c r="AE326" s="69" t="n"/>
      <c r="AF326" s="73" t="n"/>
      <c r="AG326" s="69" t="n"/>
      <c r="AH326" s="85" t="n"/>
    </row>
    <row r="327">
      <c r="A327" s="82" t="n">
        <v>372</v>
      </c>
      <c r="B327" s="75" t="n">
        <v>81879395</v>
      </c>
      <c r="C327" s="62" t="inlineStr">
        <is>
          <t>TA25AWR056</t>
        </is>
      </c>
      <c r="D327" s="62" t="inlineStr">
        <is>
          <t>Ammonia</t>
        </is>
      </c>
      <c r="E327" s="62" t="inlineStr">
        <is>
          <t>Unit 53</t>
        </is>
      </c>
      <c r="F327" s="62" t="inlineStr">
        <is>
          <t>GATE VALVE</t>
        </is>
      </c>
      <c r="G327" s="62" t="inlineStr">
        <is>
          <t>KOSO YONEKI</t>
        </is>
      </c>
      <c r="H327" s="69" t="n"/>
      <c r="I327" s="69" t="n"/>
      <c r="J327" s="129" t="inlineStr">
        <is>
          <t>M237-6GTV-5301</t>
        </is>
      </c>
      <c r="K327" s="69" t="n"/>
      <c r="L327" s="69" t="n"/>
      <c r="M327" s="62" t="inlineStr">
        <is>
          <t>Valve Packing Replacement</t>
        </is>
      </c>
      <c r="N327" s="69" t="n"/>
      <c r="O327" s="69" t="n"/>
      <c r="P327" s="69" t="n"/>
      <c r="Q327" s="69" t="n"/>
      <c r="R327" s="69" t="n"/>
      <c r="S327" s="69" t="n"/>
      <c r="T327" s="69" t="n"/>
      <c r="U327" s="69" t="n"/>
      <c r="V327" s="69" t="n"/>
      <c r="W327" s="62" t="n">
        <v>6</v>
      </c>
      <c r="X327" s="62" t="n">
        <v>6</v>
      </c>
      <c r="Y327" s="456" t="n"/>
      <c r="Z327" s="69" t="n"/>
      <c r="AA327" s="62" t="n">
        <v>2500</v>
      </c>
      <c r="AB327" s="62" t="n">
        <v>2500</v>
      </c>
      <c r="AC327" s="73" t="n"/>
      <c r="AD327" s="69" t="n"/>
      <c r="AE327" s="69" t="n"/>
      <c r="AF327" s="73" t="n"/>
      <c r="AG327" s="69" t="n"/>
      <c r="AH327" s="85" t="n"/>
    </row>
    <row r="328">
      <c r="A328" s="82" t="n">
        <v>373</v>
      </c>
      <c r="B328" s="75" t="n">
        <v>81879396</v>
      </c>
      <c r="C328" s="62" t="inlineStr">
        <is>
          <t>TA25AWR056</t>
        </is>
      </c>
      <c r="D328" s="62" t="inlineStr">
        <is>
          <t>Ammonia</t>
        </is>
      </c>
      <c r="E328" s="62" t="inlineStr">
        <is>
          <t>Unit 53</t>
        </is>
      </c>
      <c r="F328" s="62" t="inlineStr">
        <is>
          <t>GATE VALVE</t>
        </is>
      </c>
      <c r="G328" s="62" t="inlineStr">
        <is>
          <t>PK VALVE</t>
        </is>
      </c>
      <c r="H328" s="69" t="n"/>
      <c r="I328" s="69" t="n"/>
      <c r="J328" s="129" t="inlineStr">
        <is>
          <t>M237-10GTV-5306</t>
        </is>
      </c>
      <c r="K328" s="69" t="n"/>
      <c r="L328" s="69" t="n"/>
      <c r="M328" s="62" t="inlineStr">
        <is>
          <t>Valve Packing Replacement</t>
        </is>
      </c>
      <c r="N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W328" s="62" t="n">
        <v>10</v>
      </c>
      <c r="X328" s="62" t="n">
        <v>10</v>
      </c>
      <c r="Y328" s="456" t="n"/>
      <c r="Z328" s="69" t="n"/>
      <c r="AA328" s="62" t="n">
        <v>600</v>
      </c>
      <c r="AB328" s="62" t="n">
        <v>600</v>
      </c>
      <c r="AC328" s="73" t="n"/>
      <c r="AD328" s="69" t="n"/>
      <c r="AE328" s="69" t="n"/>
      <c r="AF328" s="73" t="n"/>
      <c r="AG328" s="69" t="n"/>
      <c r="AH328" s="85" t="n"/>
    </row>
    <row r="329">
      <c r="A329" s="82" t="n">
        <v>374</v>
      </c>
      <c r="B329" s="75" t="n">
        <v>81879397</v>
      </c>
      <c r="C329" s="62" t="inlineStr">
        <is>
          <t>TA25AWR056</t>
        </is>
      </c>
      <c r="D329" s="62" t="inlineStr">
        <is>
          <t>Ammonia</t>
        </is>
      </c>
      <c r="E329" s="62" t="inlineStr">
        <is>
          <t>Unit 19</t>
        </is>
      </c>
      <c r="F329" s="62" t="inlineStr">
        <is>
          <t>BUTTERFLY VALVE</t>
        </is>
      </c>
      <c r="G329" s="62" t="inlineStr">
        <is>
          <t>ORTON</t>
        </is>
      </c>
      <c r="H329" s="69" t="n"/>
      <c r="I329" s="69" t="n"/>
      <c r="J329" s="129" t="inlineStr">
        <is>
          <t>M237-18BFV-1901</t>
        </is>
      </c>
      <c r="K329" s="69" t="n"/>
      <c r="L329" s="69" t="n"/>
      <c r="M329" s="62" t="inlineStr">
        <is>
          <t>Valve Packing Replacement</t>
        </is>
      </c>
      <c r="N329" s="69" t="n"/>
      <c r="O329" s="69" t="n"/>
      <c r="P329" s="69" t="n"/>
      <c r="Q329" s="69" t="n"/>
      <c r="R329" s="69" t="n"/>
      <c r="S329" s="69" t="n"/>
      <c r="T329" s="69" t="n"/>
      <c r="U329" s="69" t="n"/>
      <c r="V329" s="69" t="n"/>
      <c r="W329" s="62" t="n">
        <v>18</v>
      </c>
      <c r="X329" s="62" t="n">
        <v>18</v>
      </c>
      <c r="Y329" s="456" t="n"/>
      <c r="Z329" s="69" t="n"/>
      <c r="AA329" s="62" t="n">
        <v>300</v>
      </c>
      <c r="AB329" s="62" t="n">
        <v>300</v>
      </c>
      <c r="AC329" s="73" t="n"/>
      <c r="AD329" s="69" t="n"/>
      <c r="AE329" s="69" t="n"/>
      <c r="AF329" s="73" t="n"/>
      <c r="AG329" s="69" t="n"/>
      <c r="AH329" s="85" t="n"/>
    </row>
    <row r="330">
      <c r="A330" s="82" t="n">
        <v>375</v>
      </c>
      <c r="B330" s="75" t="n">
        <v>81879398</v>
      </c>
      <c r="C330" s="62" t="inlineStr">
        <is>
          <t>TA25AWR056</t>
        </is>
      </c>
      <c r="D330" s="62" t="inlineStr">
        <is>
          <t>Ammonia</t>
        </is>
      </c>
      <c r="E330" s="62" t="inlineStr">
        <is>
          <t>Unit 53</t>
        </is>
      </c>
      <c r="F330" s="62" t="inlineStr">
        <is>
          <t>GATE VALVE</t>
        </is>
      </c>
      <c r="G330" s="62" t="inlineStr">
        <is>
          <t>PK VALVE</t>
        </is>
      </c>
      <c r="H330" s="69" t="n"/>
      <c r="I330" s="69" t="n"/>
      <c r="J330" s="129" t="inlineStr">
        <is>
          <t>M237-16GTV-5301</t>
        </is>
      </c>
      <c r="K330" s="69" t="n"/>
      <c r="L330" s="69" t="n"/>
      <c r="M330" s="62" t="inlineStr">
        <is>
          <t>Valve Packing Replacement</t>
        </is>
      </c>
      <c r="N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W330" s="62" t="n">
        <v>16</v>
      </c>
      <c r="X330" s="62" t="n">
        <v>16</v>
      </c>
      <c r="Y330" s="456" t="n"/>
      <c r="Z330" s="69" t="n"/>
      <c r="AA330" s="62" t="n">
        <v>600</v>
      </c>
      <c r="AB330" s="62" t="n">
        <v>600</v>
      </c>
      <c r="AC330" s="73" t="n"/>
      <c r="AD330" s="69" t="n"/>
      <c r="AE330" s="69" t="n"/>
      <c r="AF330" s="73" t="n"/>
      <c r="AG330" s="69" t="n"/>
      <c r="AH330" s="85" t="n"/>
    </row>
    <row r="331">
      <c r="A331" s="82" t="n">
        <v>376</v>
      </c>
      <c r="B331" s="75" t="n">
        <v>81879400</v>
      </c>
      <c r="C331" s="62" t="inlineStr">
        <is>
          <t>TA25AWR056</t>
        </is>
      </c>
      <c r="D331" s="62" t="inlineStr">
        <is>
          <t>Ammonia</t>
        </is>
      </c>
      <c r="E331" s="62" t="inlineStr">
        <is>
          <t>Unit 19</t>
        </is>
      </c>
      <c r="F331" s="62" t="inlineStr">
        <is>
          <t>BUTTERFLY VALVE</t>
        </is>
      </c>
      <c r="G331" s="62" t="inlineStr">
        <is>
          <t>ORTON</t>
        </is>
      </c>
      <c r="H331" s="69" t="n"/>
      <c r="I331" s="69" t="n"/>
      <c r="J331" s="129" t="inlineStr">
        <is>
          <t>M237-24BFV-1901</t>
        </is>
      </c>
      <c r="K331" s="69" t="n"/>
      <c r="L331" s="69" t="n"/>
      <c r="M331" s="62" t="inlineStr">
        <is>
          <t>Valve Packing Replacement</t>
        </is>
      </c>
      <c r="N331" s="69" t="n"/>
      <c r="O331" s="69" t="n"/>
      <c r="P331" s="69" t="n"/>
      <c r="Q331" s="69" t="n"/>
      <c r="R331" s="69" t="n"/>
      <c r="S331" s="69" t="n"/>
      <c r="T331" s="69" t="n"/>
      <c r="U331" s="69" t="n"/>
      <c r="V331" s="69" t="n"/>
      <c r="W331" s="62" t="n">
        <v>24</v>
      </c>
      <c r="X331" s="62" t="n">
        <v>24</v>
      </c>
      <c r="Y331" s="456" t="n"/>
      <c r="Z331" s="69" t="n"/>
      <c r="AA331" s="62" t="n">
        <v>300</v>
      </c>
      <c r="AB331" s="62" t="n">
        <v>300</v>
      </c>
      <c r="AC331" s="73" t="n"/>
      <c r="AD331" s="69" t="n"/>
      <c r="AE331" s="69" t="n"/>
      <c r="AF331" s="73" t="n"/>
      <c r="AG331" s="69" t="n"/>
      <c r="AH331" s="85" t="n"/>
    </row>
    <row r="332">
      <c r="A332" s="82" t="n">
        <v>377</v>
      </c>
      <c r="B332" s="75" t="n">
        <v>81880545</v>
      </c>
      <c r="C332" s="62" t="inlineStr">
        <is>
          <t>TA25AWR056</t>
        </is>
      </c>
      <c r="D332" s="62" t="inlineStr">
        <is>
          <t>Ammonia</t>
        </is>
      </c>
      <c r="E332" s="62" t="inlineStr">
        <is>
          <t>Unit 53</t>
        </is>
      </c>
      <c r="F332" s="62" t="inlineStr">
        <is>
          <t>GATE VALVE</t>
        </is>
      </c>
      <c r="G332" s="62" t="inlineStr">
        <is>
          <t>PK VALVE</t>
        </is>
      </c>
      <c r="H332" s="69" t="n"/>
      <c r="I332" s="69" t="n"/>
      <c r="J332" s="129" t="inlineStr">
        <is>
          <t>M237-8GTV-5304</t>
        </is>
      </c>
      <c r="K332" s="69" t="n"/>
      <c r="L332" s="69" t="n"/>
      <c r="M332" s="62" t="inlineStr">
        <is>
          <t>Valve Packing Replacement</t>
        </is>
      </c>
      <c r="N332" s="69" t="n"/>
      <c r="O332" s="69" t="n"/>
      <c r="P332" s="69" t="n"/>
      <c r="Q332" s="69" t="n"/>
      <c r="R332" s="69" t="n"/>
      <c r="S332" s="69" t="n"/>
      <c r="T332" s="69" t="n"/>
      <c r="U332" s="69" t="n"/>
      <c r="V332" s="69" t="n"/>
      <c r="W332" s="62" t="n">
        <v>8</v>
      </c>
      <c r="X332" s="62" t="n">
        <v>8</v>
      </c>
      <c r="Y332" s="456" t="n"/>
      <c r="Z332" s="69" t="n"/>
      <c r="AA332" s="62" t="n">
        <v>600</v>
      </c>
      <c r="AB332" s="62" t="n">
        <v>600</v>
      </c>
      <c r="AC332" s="73" t="n"/>
      <c r="AD332" s="69" t="n"/>
      <c r="AE332" s="69" t="n"/>
      <c r="AF332" s="73" t="n"/>
      <c r="AG332" s="69" t="n"/>
      <c r="AH332" s="85" t="n"/>
    </row>
    <row r="333">
      <c r="A333" s="82" t="n">
        <v>378</v>
      </c>
      <c r="B333" s="75" t="n">
        <v>81880551</v>
      </c>
      <c r="C333" s="62" t="inlineStr">
        <is>
          <t>TA25AWR056</t>
        </is>
      </c>
      <c r="D333" s="62" t="inlineStr">
        <is>
          <t>Ammonia</t>
        </is>
      </c>
      <c r="E333" s="62" t="inlineStr">
        <is>
          <t>Unit 53</t>
        </is>
      </c>
      <c r="F333" s="62" t="inlineStr">
        <is>
          <t>GATE VALVE</t>
        </is>
      </c>
      <c r="G333" s="62" t="inlineStr">
        <is>
          <t>KOSO YONEKI</t>
        </is>
      </c>
      <c r="H333" s="69" t="n"/>
      <c r="I333" s="69" t="n"/>
      <c r="J333" s="129" t="inlineStr">
        <is>
          <t>M237-6GTV-5303</t>
        </is>
      </c>
      <c r="K333" s="69" t="n"/>
      <c r="L333" s="69" t="n"/>
      <c r="M333" s="62" t="inlineStr">
        <is>
          <t>Valve Packing Replacement</t>
        </is>
      </c>
      <c r="N333" s="69" t="n"/>
      <c r="O333" s="69" t="n"/>
      <c r="P333" s="69" t="n"/>
      <c r="Q333" s="69" t="n"/>
      <c r="R333" s="69" t="n"/>
      <c r="S333" s="69" t="n"/>
      <c r="T333" s="69" t="n"/>
      <c r="U333" s="69" t="n"/>
      <c r="V333" s="69" t="n"/>
      <c r="W333" s="62" t="n">
        <v>6</v>
      </c>
      <c r="X333" s="62" t="n">
        <v>6</v>
      </c>
      <c r="Y333" s="456" t="n"/>
      <c r="Z333" s="69" t="n"/>
      <c r="AA333" s="62" t="n">
        <v>2500</v>
      </c>
      <c r="AB333" s="62" t="n">
        <v>2500</v>
      </c>
      <c r="AC333" s="73" t="n"/>
      <c r="AD333" s="69" t="n"/>
      <c r="AE333" s="69" t="n"/>
      <c r="AF333" s="73" t="n"/>
      <c r="AG333" s="69" t="n"/>
      <c r="AH333" s="85" t="n"/>
    </row>
    <row r="334">
      <c r="A334" s="82" t="n">
        <v>379</v>
      </c>
      <c r="B334" s="75" t="n">
        <v>81881993</v>
      </c>
      <c r="C334" s="62" t="inlineStr">
        <is>
          <t>TA25AWR056</t>
        </is>
      </c>
      <c r="D334" s="62" t="inlineStr">
        <is>
          <t>Ammonia</t>
        </is>
      </c>
      <c r="E334" s="62" t="inlineStr">
        <is>
          <t>Unit 53</t>
        </is>
      </c>
      <c r="F334" s="62" t="inlineStr">
        <is>
          <t>GATE VALVE</t>
        </is>
      </c>
      <c r="G334" s="62" t="inlineStr">
        <is>
          <t>PK VALVE</t>
        </is>
      </c>
      <c r="H334" s="69" t="n"/>
      <c r="I334" s="69" t="n"/>
      <c r="J334" s="129" t="inlineStr">
        <is>
          <t>M237-12GTV-1310</t>
        </is>
      </c>
      <c r="K334" s="69" t="n"/>
      <c r="L334" s="69" t="n"/>
      <c r="M334" s="62" t="inlineStr">
        <is>
          <t>Valve Packing Replacement</t>
        </is>
      </c>
      <c r="N334" s="69" t="n"/>
      <c r="O334" s="69" t="n"/>
      <c r="P334" s="69" t="n"/>
      <c r="Q334" s="69" t="n"/>
      <c r="R334" s="69" t="n"/>
      <c r="S334" s="69" t="n"/>
      <c r="T334" s="69" t="n"/>
      <c r="U334" s="69" t="n"/>
      <c r="V334" s="69" t="n"/>
      <c r="W334" s="62" t="n">
        <v>12</v>
      </c>
      <c r="X334" s="62" t="n">
        <v>12</v>
      </c>
      <c r="Y334" s="456" t="n"/>
      <c r="Z334" s="69" t="n"/>
      <c r="AA334" s="62" t="n">
        <v>600</v>
      </c>
      <c r="AB334" s="62" t="n">
        <v>600</v>
      </c>
      <c r="AC334" s="73" t="n"/>
      <c r="AD334" s="69" t="n"/>
      <c r="AE334" s="69" t="n"/>
      <c r="AF334" s="73" t="n"/>
      <c r="AG334" s="69" t="n"/>
      <c r="AH334" s="85" t="n"/>
    </row>
    <row r="335">
      <c r="A335" s="82" t="n">
        <v>380</v>
      </c>
      <c r="B335" s="75" t="n">
        <v>81881994</v>
      </c>
      <c r="C335" s="62" t="inlineStr">
        <is>
          <t>TA25AWR056</t>
        </is>
      </c>
      <c r="D335" s="62" t="inlineStr">
        <is>
          <t>Ammonia</t>
        </is>
      </c>
      <c r="E335" s="62" t="inlineStr">
        <is>
          <t>Unit 53</t>
        </is>
      </c>
      <c r="F335" s="62" t="inlineStr">
        <is>
          <t>GATE VALVE</t>
        </is>
      </c>
      <c r="G335" s="62" t="inlineStr">
        <is>
          <t>KOSO YONEKI</t>
        </is>
      </c>
      <c r="H335" s="69" t="n"/>
      <c r="I335" s="69" t="n"/>
      <c r="J335" s="129" t="inlineStr">
        <is>
          <t>M237-6GTV-5304</t>
        </is>
      </c>
      <c r="K335" s="69" t="n"/>
      <c r="L335" s="69" t="n"/>
      <c r="M335" s="62" t="inlineStr">
        <is>
          <t>Valve Packing Replacement</t>
        </is>
      </c>
      <c r="N335" s="69" t="n"/>
      <c r="O335" s="69" t="n"/>
      <c r="P335" s="69" t="n"/>
      <c r="Q335" s="69" t="n"/>
      <c r="R335" s="69" t="n"/>
      <c r="S335" s="69" t="n"/>
      <c r="T335" s="69" t="n"/>
      <c r="U335" s="69" t="n"/>
      <c r="V335" s="69" t="n"/>
      <c r="W335" s="62" t="n">
        <v>6</v>
      </c>
      <c r="X335" s="62" t="n">
        <v>6</v>
      </c>
      <c r="Y335" s="456" t="n"/>
      <c r="Z335" s="69" t="n"/>
      <c r="AA335" s="62" t="n">
        <v>2500</v>
      </c>
      <c r="AB335" s="62" t="n">
        <v>2500</v>
      </c>
      <c r="AC335" s="73" t="n"/>
      <c r="AD335" s="69" t="n"/>
      <c r="AE335" s="69" t="n"/>
      <c r="AF335" s="73" t="n"/>
      <c r="AG335" s="69" t="n"/>
      <c r="AH335" s="85" t="n"/>
    </row>
    <row r="336">
      <c r="A336" s="82" t="n">
        <v>381</v>
      </c>
      <c r="B336" s="75" t="n">
        <v>81881995</v>
      </c>
      <c r="C336" s="62" t="inlineStr">
        <is>
          <t>TA25AWR056</t>
        </is>
      </c>
      <c r="D336" s="62" t="inlineStr">
        <is>
          <t>Ammonia</t>
        </is>
      </c>
      <c r="E336" s="62" t="inlineStr">
        <is>
          <t>Unit 13</t>
        </is>
      </c>
      <c r="F336" s="62" t="inlineStr">
        <is>
          <t>GATE VALVE</t>
        </is>
      </c>
      <c r="G336" s="62" t="inlineStr">
        <is>
          <t>PK VALVE</t>
        </is>
      </c>
      <c r="H336" s="69" t="n"/>
      <c r="I336" s="69" t="n"/>
      <c r="J336" s="129" t="inlineStr">
        <is>
          <t>M237-10GTV-1302</t>
        </is>
      </c>
      <c r="K336" s="69" t="n"/>
      <c r="L336" s="69" t="n"/>
      <c r="M336" s="62" t="inlineStr">
        <is>
          <t>Valve Packing Replacement</t>
        </is>
      </c>
      <c r="N336" s="69" t="n"/>
      <c r="O336" s="69" t="n"/>
      <c r="P336" s="69" t="n"/>
      <c r="Q336" s="69" t="n"/>
      <c r="R336" s="69" t="n"/>
      <c r="S336" s="69" t="n"/>
      <c r="T336" s="69" t="n"/>
      <c r="U336" s="69" t="n"/>
      <c r="V336" s="69" t="n"/>
      <c r="W336" s="62" t="n">
        <v>10</v>
      </c>
      <c r="X336" s="62" t="n">
        <v>10</v>
      </c>
      <c r="Y336" s="456" t="n"/>
      <c r="Z336" s="69" t="n"/>
      <c r="AA336" s="62" t="n">
        <v>600</v>
      </c>
      <c r="AB336" s="62" t="n">
        <v>600</v>
      </c>
      <c r="AC336" s="73" t="n"/>
      <c r="AD336" s="69" t="n"/>
      <c r="AE336" s="69" t="n"/>
      <c r="AF336" s="73" t="n"/>
      <c r="AG336" s="69" t="n"/>
      <c r="AH336" s="85" t="n"/>
    </row>
    <row r="337">
      <c r="A337" s="82" t="n">
        <v>382</v>
      </c>
      <c r="B337" s="75" t="n">
        <v>81236803</v>
      </c>
      <c r="C337" s="62" t="inlineStr">
        <is>
          <t>UTSDF007</t>
        </is>
      </c>
      <c r="D337" s="62" t="inlineStr">
        <is>
          <t>Utility</t>
        </is>
      </c>
      <c r="E337" s="62" t="n">
        <v>55</v>
      </c>
      <c r="F337" s="62" t="inlineStr">
        <is>
          <t>VALVE</t>
        </is>
      </c>
      <c r="G337" s="62" t="n"/>
      <c r="H337" s="69" t="n"/>
      <c r="I337" s="69" t="n"/>
      <c r="J337" s="129" t="inlineStr">
        <is>
          <t>M237-24-CWR-55003B-11201</t>
        </is>
      </c>
      <c r="K337" s="69" t="n"/>
      <c r="L337" s="69" t="n"/>
      <c r="M337" s="62" t="inlineStr">
        <is>
          <t>Valve Overhaul at Workshop</t>
        </is>
      </c>
      <c r="N337" s="69" t="inlineStr">
        <is>
          <t>LENOG_PCFSSB_RR_002</t>
        </is>
      </c>
      <c r="O337" s="69" t="inlineStr">
        <is>
          <t>LENOG_PCFSSB_CR_001</t>
        </is>
      </c>
      <c r="P337" s="69" t="inlineStr">
        <is>
          <t>LENOG_PCFSSB_FR_001</t>
        </is>
      </c>
      <c r="Q337" s="69" t="inlineStr">
        <is>
          <t>LENOG_PCFSSB_SR_001</t>
        </is>
      </c>
      <c r="R337" s="69" t="n"/>
      <c r="S337" s="69" t="n"/>
      <c r="T337" s="69" t="n"/>
      <c r="U337" s="69" t="n"/>
      <c r="V337" s="69" t="n"/>
      <c r="W337" s="62" t="n">
        <v>24</v>
      </c>
      <c r="X337" s="62" t="n">
        <v>24</v>
      </c>
      <c r="Y337" s="456" t="n"/>
      <c r="Z337" s="69" t="n"/>
      <c r="AA337" s="62" t="n">
        <v>150</v>
      </c>
      <c r="AB337" s="62" t="n">
        <v>150</v>
      </c>
      <c r="AC337" s="73" t="n"/>
      <c r="AD337" s="69" t="n"/>
      <c r="AE337" s="69" t="n"/>
      <c r="AF337" s="73" t="n"/>
      <c r="AG337" s="69" t="n"/>
      <c r="AH337" s="85" t="n"/>
    </row>
    <row r="338">
      <c r="A338" s="82" t="n">
        <v>383</v>
      </c>
      <c r="B338" s="75" t="n">
        <v>81236805</v>
      </c>
      <c r="C338" s="62" t="inlineStr">
        <is>
          <t>UTSDF008</t>
        </is>
      </c>
      <c r="D338" s="62" t="inlineStr">
        <is>
          <t>Utility</t>
        </is>
      </c>
      <c r="E338" s="62" t="n">
        <v>55</v>
      </c>
      <c r="F338" s="62" t="inlineStr">
        <is>
          <t>VALVE</t>
        </is>
      </c>
      <c r="G338" s="62" t="n"/>
      <c r="H338" s="69" t="n"/>
      <c r="I338" s="69" t="n"/>
      <c r="J338" s="129" t="inlineStr">
        <is>
          <t>M237-24-CWR-55003A-11201</t>
        </is>
      </c>
      <c r="K338" s="69" t="n"/>
      <c r="L338" s="69" t="n"/>
      <c r="M338" s="62" t="inlineStr">
        <is>
          <t>Valve Overhaul at Workshop</t>
        </is>
      </c>
      <c r="N338" s="69" t="inlineStr">
        <is>
          <t>LENOG_PCFSSB_RR_002</t>
        </is>
      </c>
      <c r="O338" s="69" t="inlineStr">
        <is>
          <t>LENOG_PCFSSB_CR_001</t>
        </is>
      </c>
      <c r="P338" s="69" t="inlineStr">
        <is>
          <t>LENOG_PCFSSB_FR_001</t>
        </is>
      </c>
      <c r="Q338" s="69" t="inlineStr">
        <is>
          <t>LENOG_PCFSSB_SR_001</t>
        </is>
      </c>
      <c r="R338" s="69" t="n"/>
      <c r="S338" s="69" t="n"/>
      <c r="T338" s="69" t="n"/>
      <c r="U338" s="69" t="n"/>
      <c r="V338" s="69" t="n"/>
      <c r="W338" s="62" t="n">
        <v>24</v>
      </c>
      <c r="X338" s="62" t="n">
        <v>24</v>
      </c>
      <c r="Y338" s="456" t="n"/>
      <c r="Z338" s="69" t="n"/>
      <c r="AA338" s="62" t="n">
        <v>150</v>
      </c>
      <c r="AB338" s="62" t="n">
        <v>150</v>
      </c>
      <c r="AC338" s="73" t="n"/>
      <c r="AD338" s="69" t="n"/>
      <c r="AE338" s="69" t="n"/>
      <c r="AF338" s="73" t="n"/>
      <c r="AG338" s="69" t="n"/>
      <c r="AH338" s="85" t="n"/>
    </row>
    <row r="339">
      <c r="A339" s="82" t="n">
        <v>384</v>
      </c>
      <c r="B339" s="75" t="n">
        <v>81629183</v>
      </c>
      <c r="C339" s="62" t="inlineStr">
        <is>
          <t>UTSDF081</t>
        </is>
      </c>
      <c r="D339" s="62" t="inlineStr">
        <is>
          <t>Utility</t>
        </is>
      </c>
      <c r="E339" s="62" t="n">
        <v>54</v>
      </c>
      <c r="F339" s="62" t="inlineStr">
        <is>
          <t>VALVE</t>
        </is>
      </c>
      <c r="G339" s="62" t="n"/>
      <c r="H339" s="69" t="n"/>
      <c r="I339" s="69" t="n"/>
      <c r="J339" s="129" t="inlineStr">
        <is>
          <t>M237-32-CWR-54003A-11201</t>
        </is>
      </c>
      <c r="K339" s="69" t="n"/>
      <c r="L339" s="69" t="n"/>
      <c r="M339" s="62" t="inlineStr">
        <is>
          <t>Valve Overhaul at Workshop</t>
        </is>
      </c>
      <c r="N339" s="69" t="inlineStr">
        <is>
          <t>LENOG_PCFSSB_RR_002</t>
        </is>
      </c>
      <c r="O339" s="69" t="inlineStr">
        <is>
          <t>LENOG_PCFSSB_CR_001</t>
        </is>
      </c>
      <c r="P339" s="69" t="inlineStr">
        <is>
          <t>LENOG_PCFSSB_FR_001</t>
        </is>
      </c>
      <c r="Q339" s="69" t="inlineStr">
        <is>
          <t>LENOG_PCFSSB_SR_001</t>
        </is>
      </c>
      <c r="R339" s="69" t="n"/>
      <c r="S339" s="69" t="n"/>
      <c r="T339" s="69" t="n"/>
      <c r="U339" s="69" t="n"/>
      <c r="V339" s="69" t="n"/>
      <c r="W339" s="62" t="n">
        <v>32</v>
      </c>
      <c r="X339" s="62" t="n">
        <v>32</v>
      </c>
      <c r="Y339" s="456" t="n"/>
      <c r="Z339" s="69" t="n"/>
      <c r="AA339" s="62" t="n">
        <v>150</v>
      </c>
      <c r="AB339" s="62" t="n">
        <v>150</v>
      </c>
      <c r="AC339" s="73" t="n"/>
      <c r="AD339" s="69" t="n"/>
      <c r="AE339" s="69" t="n"/>
      <c r="AF339" s="73" t="n"/>
      <c r="AG339" s="69" t="n"/>
      <c r="AH339" s="85" t="n"/>
    </row>
    <row r="340">
      <c r="A340" s="82" t="n">
        <v>385</v>
      </c>
      <c r="B340" s="75" t="n">
        <v>81629184</v>
      </c>
      <c r="C340" s="62" t="inlineStr">
        <is>
          <t>UTSDF082</t>
        </is>
      </c>
      <c r="D340" s="62" t="inlineStr">
        <is>
          <t>Utility</t>
        </is>
      </c>
      <c r="E340" s="62" t="n">
        <v>54</v>
      </c>
      <c r="F340" s="62" t="inlineStr">
        <is>
          <t>VALVE</t>
        </is>
      </c>
      <c r="G340" s="62" t="n"/>
      <c r="H340" s="69" t="n"/>
      <c r="I340" s="69" t="n"/>
      <c r="J340" s="129" t="inlineStr">
        <is>
          <t>M237-32-CWR-54003L-11201</t>
        </is>
      </c>
      <c r="K340" s="69" t="n"/>
      <c r="L340" s="69" t="n"/>
      <c r="M340" s="62" t="inlineStr">
        <is>
          <t>Valve Overhaul at Workshop</t>
        </is>
      </c>
      <c r="N340" s="69" t="inlineStr">
        <is>
          <t>LENOG_PCFSSB_RR_002</t>
        </is>
      </c>
      <c r="O340" s="69" t="inlineStr">
        <is>
          <t>LENOG_PCFSSB_CR_001</t>
        </is>
      </c>
      <c r="P340" s="69" t="inlineStr">
        <is>
          <t>LENOG_PCFSSB_FR_001</t>
        </is>
      </c>
      <c r="Q340" s="69" t="inlineStr">
        <is>
          <t>LENOG_PCFSSB_SR_001</t>
        </is>
      </c>
      <c r="R340" s="69" t="n"/>
      <c r="S340" s="69" t="n"/>
      <c r="T340" s="69" t="n"/>
      <c r="U340" s="69" t="n"/>
      <c r="V340" s="69" t="n"/>
      <c r="W340" s="62" t="n">
        <v>32</v>
      </c>
      <c r="X340" s="62" t="n">
        <v>32</v>
      </c>
      <c r="Y340" s="456" t="n"/>
      <c r="Z340" s="69" t="n"/>
      <c r="AA340" s="62" t="n">
        <v>150</v>
      </c>
      <c r="AB340" s="62" t="n">
        <v>150</v>
      </c>
      <c r="AC340" s="73" t="n"/>
      <c r="AD340" s="69" t="n"/>
      <c r="AE340" s="69" t="n"/>
      <c r="AF340" s="73" t="n"/>
      <c r="AG340" s="69" t="n"/>
      <c r="AH340" s="85" t="n"/>
    </row>
    <row r="341">
      <c r="A341" s="82" t="n">
        <v>386</v>
      </c>
      <c r="B341" s="75" t="n">
        <v>81612441</v>
      </c>
      <c r="C341" s="62" t="inlineStr">
        <is>
          <t>UTSDF090</t>
        </is>
      </c>
      <c r="D341" s="62" t="inlineStr">
        <is>
          <t>Utility</t>
        </is>
      </c>
      <c r="E341" s="62" t="n">
        <v>54</v>
      </c>
      <c r="F341" s="62" t="inlineStr">
        <is>
          <t>VALVE</t>
        </is>
      </c>
      <c r="G341" s="62" t="n"/>
      <c r="H341" s="69" t="n"/>
      <c r="I341" s="69" t="n"/>
      <c r="J341" s="129" t="inlineStr">
        <is>
          <t>32-CWR-54003G-1102</t>
        </is>
      </c>
      <c r="K341" s="69" t="n"/>
      <c r="L341" s="69" t="n"/>
      <c r="M341" s="62" t="inlineStr">
        <is>
          <t>Valve Overhaul at Workshop</t>
        </is>
      </c>
      <c r="N341" s="69" t="inlineStr">
        <is>
          <t>LENOG_PCFSSB_RR_002</t>
        </is>
      </c>
      <c r="O341" s="69" t="inlineStr">
        <is>
          <t>LENOG_PCFSSB_CR_001</t>
        </is>
      </c>
      <c r="P341" s="69" t="inlineStr">
        <is>
          <t>LENOG_PCFSSB_FR_001</t>
        </is>
      </c>
      <c r="Q341" s="69" t="inlineStr">
        <is>
          <t>LENOG_PCFSSB_SR_001</t>
        </is>
      </c>
      <c r="R341" s="69" t="n"/>
      <c r="S341" s="69" t="n"/>
      <c r="T341" s="69" t="n"/>
      <c r="U341" s="69" t="n"/>
      <c r="V341" s="69" t="n"/>
      <c r="W341" s="62" t="n">
        <v>32</v>
      </c>
      <c r="X341" s="62" t="n">
        <v>32</v>
      </c>
      <c r="Y341" s="456" t="n"/>
      <c r="Z341" s="69" t="n"/>
      <c r="AA341" s="62" t="n">
        <v>150</v>
      </c>
      <c r="AB341" s="62" t="n">
        <v>150</v>
      </c>
      <c r="AC341" s="73" t="n"/>
      <c r="AD341" s="69" t="n"/>
      <c r="AE341" s="69" t="n"/>
      <c r="AF341" s="73" t="n"/>
      <c r="AG341" s="69" t="n"/>
      <c r="AH341" s="85" t="n"/>
    </row>
    <row r="342">
      <c r="A342" s="82" t="n">
        <v>387</v>
      </c>
      <c r="B342" s="75" t="n">
        <v>81411951</v>
      </c>
      <c r="C342" s="62" t="inlineStr">
        <is>
          <t>UTSDF091</t>
        </is>
      </c>
      <c r="D342" s="62" t="inlineStr">
        <is>
          <t>Utility</t>
        </is>
      </c>
      <c r="E342" s="62" t="n">
        <v>54</v>
      </c>
      <c r="F342" s="62" t="inlineStr">
        <is>
          <t>VALVE</t>
        </is>
      </c>
      <c r="G342" s="62" t="n"/>
      <c r="H342" s="69" t="n"/>
      <c r="I342" s="69" t="n"/>
      <c r="J342" s="129" t="inlineStr">
        <is>
          <t>32-CWR-54003I-1102</t>
        </is>
      </c>
      <c r="K342" s="69" t="n"/>
      <c r="L342" s="69" t="n"/>
      <c r="M342" s="62" t="inlineStr">
        <is>
          <t>Valve Overhaul at Workshop</t>
        </is>
      </c>
      <c r="N342" s="69" t="inlineStr">
        <is>
          <t>LENOG_PCFSSB_RR_002</t>
        </is>
      </c>
      <c r="O342" s="69" t="inlineStr">
        <is>
          <t>LENOG_PCFSSB_CR_001</t>
        </is>
      </c>
      <c r="P342" s="69" t="inlineStr">
        <is>
          <t>LENOG_PCFSSB_FR_001</t>
        </is>
      </c>
      <c r="Q342" s="69" t="inlineStr">
        <is>
          <t>LENOG_PCFSSB_SR_001</t>
        </is>
      </c>
      <c r="R342" s="69" t="n"/>
      <c r="S342" s="69" t="n"/>
      <c r="T342" s="69" t="n"/>
      <c r="U342" s="69" t="n"/>
      <c r="V342" s="69" t="n"/>
      <c r="W342" s="62" t="n">
        <v>32</v>
      </c>
      <c r="X342" s="62" t="n">
        <v>32</v>
      </c>
      <c r="Y342" s="456" t="n"/>
      <c r="Z342" s="69" t="n"/>
      <c r="AA342" s="62" t="n">
        <v>150</v>
      </c>
      <c r="AB342" s="62" t="n">
        <v>150</v>
      </c>
      <c r="AC342" s="73" t="n"/>
      <c r="AD342" s="69" t="n"/>
      <c r="AE342" s="69" t="n"/>
      <c r="AF342" s="73" t="n"/>
      <c r="AG342" s="69" t="n"/>
      <c r="AH342" s="85" t="n"/>
    </row>
    <row r="343">
      <c r="A343" s="82" t="n">
        <v>389</v>
      </c>
      <c r="B343" s="75" t="n">
        <v>81287626</v>
      </c>
      <c r="C343" s="62" t="inlineStr">
        <is>
          <t>AMSDF019</t>
        </is>
      </c>
      <c r="D343" s="62" t="inlineStr">
        <is>
          <t>Ammonia</t>
        </is>
      </c>
      <c r="E343" s="62" t="n">
        <v>18</v>
      </c>
      <c r="F343" s="62" t="inlineStr">
        <is>
          <t>VALVE</t>
        </is>
      </c>
      <c r="G343" s="62" t="n"/>
      <c r="H343" s="69" t="n"/>
      <c r="I343" s="69" t="n"/>
      <c r="J343" s="129" t="inlineStr">
        <is>
          <t>M237-MSV-18-01 (bad actor)</t>
        </is>
      </c>
      <c r="K343" s="69" t="n"/>
      <c r="L343" s="69" t="n"/>
      <c r="M343" s="62" t="inlineStr">
        <is>
          <t>Valve Overhaul at Workshop</t>
        </is>
      </c>
      <c r="N343" s="69" t="inlineStr">
        <is>
          <t>LENOG_PCFSSB_RR_002</t>
        </is>
      </c>
      <c r="O343" s="69" t="inlineStr">
        <is>
          <t>LENOG_PCFSSB_CR_001</t>
        </is>
      </c>
      <c r="P343" s="69" t="inlineStr">
        <is>
          <t>LENOG_PCFSSB_FR_001</t>
        </is>
      </c>
      <c r="Q343" s="69" t="inlineStr">
        <is>
          <t>LENOG_PCFSSB_SR_001</t>
        </is>
      </c>
      <c r="R343" s="69" t="n"/>
      <c r="S343" s="69" t="n"/>
      <c r="T343" s="69" t="n"/>
      <c r="U343" s="69" t="n"/>
      <c r="V343" s="69" t="n"/>
      <c r="W343" s="62" t="n">
        <v>20</v>
      </c>
      <c r="X343" s="62" t="n">
        <v>20</v>
      </c>
      <c r="Y343" s="456" t="n"/>
      <c r="Z343" s="69" t="n"/>
      <c r="AA343" s="62" t="n">
        <v>2500</v>
      </c>
      <c r="AB343" s="62" t="n">
        <v>2500</v>
      </c>
      <c r="AC343" s="73" t="n"/>
      <c r="AD343" s="69" t="n"/>
      <c r="AE343" s="69" t="n"/>
      <c r="AF343" s="73" t="n"/>
      <c r="AG343" s="69" t="n"/>
      <c r="AH343" s="85" t="n"/>
    </row>
    <row r="344">
      <c r="A344" s="82" t="n">
        <v>390</v>
      </c>
      <c r="B344" s="75" t="n">
        <v>81664035</v>
      </c>
      <c r="C344" s="62" t="inlineStr">
        <is>
          <t>AMSDF031</t>
        </is>
      </c>
      <c r="D344" s="62" t="inlineStr">
        <is>
          <t>Ammonia</t>
        </is>
      </c>
      <c r="E344" s="62" t="n">
        <v>18</v>
      </c>
      <c r="F344" s="62" t="inlineStr">
        <is>
          <t>VALVE</t>
        </is>
      </c>
      <c r="G344" s="62" t="n"/>
      <c r="H344" s="69" t="n"/>
      <c r="I344" s="69" t="n"/>
      <c r="J344" s="129" t="inlineStr">
        <is>
          <t>M237-18HV-001</t>
        </is>
      </c>
      <c r="K344" s="69" t="n"/>
      <c r="L344" s="69" t="n"/>
      <c r="M344" s="62" t="inlineStr">
        <is>
          <t>Valve Overhaul at Workshop</t>
        </is>
      </c>
      <c r="N344" s="69" t="inlineStr">
        <is>
          <t>LENOG_PCFSSB_RR_002</t>
        </is>
      </c>
      <c r="O344" s="69" t="inlineStr">
        <is>
          <t>LENOG_PCFSSB_CR_001</t>
        </is>
      </c>
      <c r="P344" s="69" t="inlineStr">
        <is>
          <t>LENOG_PCFSSB_FR_001</t>
        </is>
      </c>
      <c r="Q344" s="69" t="inlineStr">
        <is>
          <t>LENOG_PCFSSB_SR_001</t>
        </is>
      </c>
      <c r="R344" s="69" t="n"/>
      <c r="S344" s="69" t="n"/>
      <c r="T344" s="69" t="n"/>
      <c r="U344" s="69" t="n"/>
      <c r="V344" s="69" t="n"/>
      <c r="W344" s="62" t="n">
        <v>20</v>
      </c>
      <c r="X344" s="62" t="n">
        <v>20</v>
      </c>
      <c r="Y344" s="456" t="n"/>
      <c r="Z344" s="69" t="n"/>
      <c r="AA344" s="62" t="n">
        <v>2500</v>
      </c>
      <c r="AB344" s="62" t="n">
        <v>2500</v>
      </c>
      <c r="AC344" s="73" t="n"/>
      <c r="AD344" s="69" t="n"/>
      <c r="AE344" s="69" t="n"/>
      <c r="AF344" s="73" t="n"/>
      <c r="AG344" s="69" t="n"/>
      <c r="AH344" s="85" t="n"/>
    </row>
    <row r="345">
      <c r="A345" s="82" t="n">
        <v>391</v>
      </c>
      <c r="B345" s="75" t="n">
        <v>81651720</v>
      </c>
      <c r="C345" s="62" t="inlineStr">
        <is>
          <t>AMSDF060</t>
        </is>
      </c>
      <c r="D345" s="62" t="inlineStr">
        <is>
          <t>Ammonia</t>
        </is>
      </c>
      <c r="E345" s="62" t="n">
        <v>12</v>
      </c>
      <c r="F345" s="62" t="inlineStr">
        <is>
          <t>VALVE</t>
        </is>
      </c>
      <c r="G345" s="62" t="n"/>
      <c r="H345" s="69" t="n"/>
      <c r="I345" s="69" t="n"/>
      <c r="J345" s="129" t="inlineStr">
        <is>
          <t>M237-12XV-402</t>
        </is>
      </c>
      <c r="K345" s="69" t="n"/>
      <c r="L345" s="69" t="n"/>
      <c r="M345" s="62" t="inlineStr">
        <is>
          <t>Valve Overhaul at Workshop</t>
        </is>
      </c>
      <c r="N345" s="69" t="inlineStr">
        <is>
          <t>LENOG_PCFSSB_RR_002</t>
        </is>
      </c>
      <c r="O345" s="69" t="inlineStr">
        <is>
          <t>LENOG_PCFSSB_CR_001</t>
        </is>
      </c>
      <c r="P345" s="69" t="inlineStr">
        <is>
          <t>LENOG_PCFSSB_FR_001</t>
        </is>
      </c>
      <c r="Q345" s="69" t="inlineStr">
        <is>
          <t>LENOG_PCFSSB_SR_001</t>
        </is>
      </c>
      <c r="R345" s="69" t="n"/>
      <c r="S345" s="69" t="n"/>
      <c r="T345" s="69" t="n"/>
      <c r="U345" s="69" t="n"/>
      <c r="V345" s="69" t="n"/>
      <c r="W345" s="62" t="n">
        <v>20</v>
      </c>
      <c r="X345" s="62" t="n">
        <v>20</v>
      </c>
      <c r="Y345" s="456" t="n"/>
      <c r="Z345" s="69" t="n"/>
      <c r="AA345" s="62" t="n">
        <v>150</v>
      </c>
      <c r="AB345" s="62" t="n">
        <v>150</v>
      </c>
      <c r="AC345" s="73" t="n"/>
      <c r="AD345" s="69" t="n"/>
      <c r="AE345" s="69" t="n"/>
      <c r="AF345" s="73" t="n"/>
      <c r="AG345" s="69" t="n"/>
      <c r="AH345" s="85" t="n"/>
    </row>
    <row r="346">
      <c r="A346" s="82" t="n">
        <v>392</v>
      </c>
      <c r="B346" s="75" t="n">
        <v>81658279</v>
      </c>
      <c r="C346" s="62" t="inlineStr">
        <is>
          <t>AMSDF062</t>
        </is>
      </c>
      <c r="D346" s="62" t="inlineStr">
        <is>
          <t>Ammonia</t>
        </is>
      </c>
      <c r="E346" s="62" t="n">
        <v>52</v>
      </c>
      <c r="F346" s="62" t="inlineStr">
        <is>
          <t>VALVE</t>
        </is>
      </c>
      <c r="G346" s="62" t="n"/>
      <c r="H346" s="69" t="n"/>
      <c r="I346" s="69" t="n"/>
      <c r="J346" s="129" t="inlineStr">
        <is>
          <t>M237-12-BFW-52002-151260-25HMB</t>
        </is>
      </c>
      <c r="K346" s="69" t="n"/>
      <c r="L346" s="69" t="n"/>
      <c r="M346" s="62" t="inlineStr">
        <is>
          <t>Valve Packing Replacement</t>
        </is>
      </c>
      <c r="N346" s="69" t="n"/>
      <c r="O346" s="69" t="n"/>
      <c r="P346" s="69" t="n"/>
      <c r="Q346" s="69" t="n"/>
      <c r="R346" s="69" t="n"/>
      <c r="S346" s="69" t="n"/>
      <c r="T346" s="69" t="n"/>
      <c r="U346" s="69" t="n"/>
      <c r="V346" s="69" t="n"/>
      <c r="W346" s="62" t="n">
        <v>12</v>
      </c>
      <c r="X346" s="62" t="n">
        <v>12</v>
      </c>
      <c r="Y346" s="456" t="n"/>
      <c r="Z346" s="69" t="n"/>
      <c r="AA346" s="62" t="n">
        <v>2500</v>
      </c>
      <c r="AB346" s="62" t="n">
        <v>2500</v>
      </c>
      <c r="AC346" s="73" t="n"/>
      <c r="AD346" s="69" t="n"/>
      <c r="AE346" s="69" t="n"/>
      <c r="AF346" s="73" t="n"/>
      <c r="AG346" s="69" t="n"/>
      <c r="AH346" s="85" t="n"/>
    </row>
    <row r="347">
      <c r="A347" s="82" t="n">
        <v>393</v>
      </c>
      <c r="B347" s="75" t="n">
        <v>81649799</v>
      </c>
      <c r="C347" s="62" t="inlineStr">
        <is>
          <t>URSDF018</t>
        </is>
      </c>
      <c r="D347" s="62" t="inlineStr">
        <is>
          <t>Urea</t>
        </is>
      </c>
      <c r="E347" s="62" t="n">
        <v>34</v>
      </c>
      <c r="F347" s="62" t="inlineStr">
        <is>
          <t>VALVE</t>
        </is>
      </c>
      <c r="G347" s="62" t="n"/>
      <c r="H347" s="69" t="n"/>
      <c r="I347" s="69" t="n"/>
      <c r="J347" s="129" t="inlineStr">
        <is>
          <t>M237-E-34-03</t>
        </is>
      </c>
      <c r="K347" s="69" t="n"/>
      <c r="L347" s="69" t="n"/>
      <c r="M347" s="62" t="inlineStr">
        <is>
          <t>Valve Overhaul at Workshop</t>
        </is>
      </c>
      <c r="N347" s="69" t="inlineStr">
        <is>
          <t>LENOG_PCFSSB_RR_002</t>
        </is>
      </c>
      <c r="O347" s="69" t="inlineStr">
        <is>
          <t>LENOG_PCFSSB_CR_001</t>
        </is>
      </c>
      <c r="P347" s="69" t="inlineStr">
        <is>
          <t>LENOG_PCFSSB_FR_001</t>
        </is>
      </c>
      <c r="Q347" s="69" t="inlineStr">
        <is>
          <t>LENOG_PCFSSB_SR_001</t>
        </is>
      </c>
      <c r="R347" s="69" t="n"/>
      <c r="S347" s="69" t="n"/>
      <c r="T347" s="69" t="n"/>
      <c r="U347" s="69" t="n"/>
      <c r="V347" s="69" t="n"/>
      <c r="W347" s="62" t="n">
        <v>6</v>
      </c>
      <c r="X347" s="62" t="n">
        <v>6</v>
      </c>
      <c r="Y347" s="456" t="n"/>
      <c r="Z347" s="69" t="n"/>
      <c r="AA347" s="62" t="n">
        <v>300</v>
      </c>
      <c r="AB347" s="62" t="n">
        <v>300</v>
      </c>
      <c r="AC347" s="73" t="n"/>
      <c r="AD347" s="69" t="n"/>
      <c r="AE347" s="69" t="n"/>
      <c r="AF347" s="73" t="n"/>
      <c r="AG347" s="69" t="n"/>
      <c r="AH347" s="85" t="n"/>
    </row>
    <row r="348">
      <c r="A348" s="82" t="n">
        <v>394</v>
      </c>
      <c r="B348" s="75" t="n">
        <v>81649799</v>
      </c>
      <c r="C348" s="62" t="inlineStr">
        <is>
          <t>URSDF019</t>
        </is>
      </c>
      <c r="D348" s="62" t="inlineStr">
        <is>
          <t>Urea</t>
        </is>
      </c>
      <c r="E348" s="62" t="n">
        <v>34</v>
      </c>
      <c r="F348" s="62" t="inlineStr">
        <is>
          <t>VALVE</t>
        </is>
      </c>
      <c r="G348" s="62" t="n"/>
      <c r="H348" s="69" t="n"/>
      <c r="I348" s="69" t="n"/>
      <c r="J348" s="129" t="inlineStr">
        <is>
          <t>M237-E-34-03</t>
        </is>
      </c>
      <c r="K348" s="69" t="n"/>
      <c r="L348" s="69" t="n"/>
      <c r="M348" s="62" t="inlineStr">
        <is>
          <t>Valve Overhaul at Workshop</t>
        </is>
      </c>
      <c r="N348" s="69" t="inlineStr">
        <is>
          <t>LENOG_PCFSSB_RR_002</t>
        </is>
      </c>
      <c r="O348" s="69" t="inlineStr">
        <is>
          <t>LENOG_PCFSSB_CR_001</t>
        </is>
      </c>
      <c r="P348" s="69" t="inlineStr">
        <is>
          <t>LENOG_PCFSSB_FR_001</t>
        </is>
      </c>
      <c r="Q348" s="69" t="inlineStr">
        <is>
          <t>LENOG_PCFSSB_SR_001</t>
        </is>
      </c>
      <c r="R348" s="69" t="n"/>
      <c r="S348" s="69" t="n"/>
      <c r="T348" s="69" t="n"/>
      <c r="U348" s="69" t="n"/>
      <c r="V348" s="69" t="n"/>
      <c r="W348" s="62" t="n">
        <v>10</v>
      </c>
      <c r="X348" s="62" t="n">
        <v>10</v>
      </c>
      <c r="Y348" s="456" t="n"/>
      <c r="Z348" s="69" t="n"/>
      <c r="AA348" s="62" t="n">
        <v>300</v>
      </c>
      <c r="AB348" s="62" t="n">
        <v>300</v>
      </c>
      <c r="AC348" s="73" t="n"/>
      <c r="AD348" s="69" t="n"/>
      <c r="AE348" s="69" t="n"/>
      <c r="AF348" s="73" t="n"/>
      <c r="AG348" s="69" t="n"/>
      <c r="AH348" s="85" t="n"/>
    </row>
    <row r="349">
      <c r="A349" s="82" t="n">
        <v>395</v>
      </c>
      <c r="B349" s="75" t="n">
        <v>81649910</v>
      </c>
      <c r="C349" s="62" t="inlineStr">
        <is>
          <t>URSDF043</t>
        </is>
      </c>
      <c r="D349" s="62" t="inlineStr">
        <is>
          <t>Urea</t>
        </is>
      </c>
      <c r="E349" s="62" t="n">
        <v>34</v>
      </c>
      <c r="F349" s="62" t="inlineStr">
        <is>
          <t>VALVE</t>
        </is>
      </c>
      <c r="G349" s="62" t="n"/>
      <c r="H349" s="69" t="n"/>
      <c r="I349" s="69" t="n"/>
      <c r="J349" s="129" t="inlineStr">
        <is>
          <t>M237-F-34-02</t>
        </is>
      </c>
      <c r="K349" s="69" t="n"/>
      <c r="L349" s="69" t="n"/>
      <c r="M349" s="62" t="inlineStr">
        <is>
          <t>Valve Overhaul at Workshop</t>
        </is>
      </c>
      <c r="N349" s="69" t="inlineStr">
        <is>
          <t>LENOG_PCFSSB_RR_002</t>
        </is>
      </c>
      <c r="O349" s="69" t="inlineStr">
        <is>
          <t>LENOG_PCFSSB_CR_001</t>
        </is>
      </c>
      <c r="P349" s="69" t="inlineStr">
        <is>
          <t>LENOG_PCFSSB_FR_001</t>
        </is>
      </c>
      <c r="Q349" s="69" t="inlineStr">
        <is>
          <t>LENOG_PCFSSB_SR_001</t>
        </is>
      </c>
      <c r="R349" s="69" t="n"/>
      <c r="S349" s="69" t="n"/>
      <c r="T349" s="69" t="n"/>
      <c r="U349" s="69" t="n"/>
      <c r="V349" s="69" t="n"/>
      <c r="W349" s="62" t="n">
        <v>8</v>
      </c>
      <c r="X349" s="62" t="n">
        <v>8</v>
      </c>
      <c r="Y349" s="456" t="n"/>
      <c r="Z349" s="69" t="n"/>
      <c r="AA349" s="62" t="n">
        <v>300</v>
      </c>
      <c r="AB349" s="62" t="n">
        <v>300</v>
      </c>
      <c r="AC349" s="73" t="n"/>
      <c r="AD349" s="69" t="n"/>
      <c r="AE349" s="69" t="n"/>
      <c r="AF349" s="73" t="n"/>
      <c r="AG349" s="69" t="n"/>
      <c r="AH349" s="85" t="n"/>
    </row>
    <row r="350">
      <c r="A350" s="82" t="n">
        <v>396</v>
      </c>
      <c r="B350" s="75" t="n">
        <v>81649910</v>
      </c>
      <c r="C350" s="62" t="inlineStr">
        <is>
          <t>URSDF044</t>
        </is>
      </c>
      <c r="D350" s="62" t="inlineStr">
        <is>
          <t>Urea</t>
        </is>
      </c>
      <c r="E350" s="62" t="n">
        <v>34</v>
      </c>
      <c r="F350" s="62" t="inlineStr">
        <is>
          <t>VALVE</t>
        </is>
      </c>
      <c r="G350" s="62" t="n"/>
      <c r="H350" s="69" t="n"/>
      <c r="I350" s="69" t="n"/>
      <c r="J350" s="129" t="inlineStr">
        <is>
          <t>M237-F-34-02</t>
        </is>
      </c>
      <c r="K350" s="69" t="n"/>
      <c r="L350" s="69" t="n"/>
      <c r="M350" s="62" t="inlineStr">
        <is>
          <t>Valve Overhaul at Workshop</t>
        </is>
      </c>
      <c r="N350" s="69" t="inlineStr">
        <is>
          <t>LENOG_PCFSSB_RR_002</t>
        </is>
      </c>
      <c r="O350" s="69" t="inlineStr">
        <is>
          <t>LENOG_PCFSSB_CR_001</t>
        </is>
      </c>
      <c r="P350" s="69" t="inlineStr">
        <is>
          <t>LENOG_PCFSSB_FR_001</t>
        </is>
      </c>
      <c r="Q350" s="69" t="inlineStr">
        <is>
          <t>LENOG_PCFSSB_SR_001</t>
        </is>
      </c>
      <c r="R350" s="69" t="n"/>
      <c r="S350" s="69" t="n"/>
      <c r="T350" s="69" t="n"/>
      <c r="U350" s="69" t="n"/>
      <c r="V350" s="69" t="n"/>
      <c r="W350" s="62" t="n">
        <v>8</v>
      </c>
      <c r="X350" s="62" t="n">
        <v>8</v>
      </c>
      <c r="Y350" s="456" t="n"/>
      <c r="Z350" s="69" t="n"/>
      <c r="AA350" s="62" t="n">
        <v>300</v>
      </c>
      <c r="AB350" s="62" t="n">
        <v>300</v>
      </c>
      <c r="AC350" s="73" t="n"/>
      <c r="AD350" s="69" t="n"/>
      <c r="AE350" s="69" t="n"/>
      <c r="AF350" s="73" t="n"/>
      <c r="AG350" s="69" t="n"/>
      <c r="AH350" s="85" t="n"/>
    </row>
    <row r="351">
      <c r="A351" s="82" t="n">
        <v>397</v>
      </c>
      <c r="B351" s="75" t="n">
        <v>81649911</v>
      </c>
      <c r="C351" s="62" t="inlineStr">
        <is>
          <t>URSDF045</t>
        </is>
      </c>
      <c r="D351" s="62" t="inlineStr">
        <is>
          <t>Urea</t>
        </is>
      </c>
      <c r="E351" s="62" t="n">
        <v>34</v>
      </c>
      <c r="F351" s="62" t="inlineStr">
        <is>
          <t>VALVE</t>
        </is>
      </c>
      <c r="G351" s="62" t="n"/>
      <c r="H351" s="69" t="n"/>
      <c r="I351" s="69" t="n"/>
      <c r="J351" s="129" t="inlineStr">
        <is>
          <t>M237-P-34-01B</t>
        </is>
      </c>
      <c r="K351" s="69" t="n"/>
      <c r="L351" s="69" t="n"/>
      <c r="M351" s="62" t="inlineStr">
        <is>
          <t>Valve Overhaul at Workshop</t>
        </is>
      </c>
      <c r="N351" s="69" t="inlineStr">
        <is>
          <t>LENOG_PCFSSB_RR_002</t>
        </is>
      </c>
      <c r="O351" s="69" t="inlineStr">
        <is>
          <t>LENOG_PCFSSB_CR_001</t>
        </is>
      </c>
      <c r="P351" s="69" t="inlineStr">
        <is>
          <t>LENOG_PCFSSB_FR_001</t>
        </is>
      </c>
      <c r="Q351" s="69" t="inlineStr">
        <is>
          <t>LENOG_PCFSSB_SR_001</t>
        </is>
      </c>
      <c r="R351" s="69" t="n"/>
      <c r="S351" s="69" t="n"/>
      <c r="T351" s="69" t="n"/>
      <c r="U351" s="69" t="n"/>
      <c r="V351" s="69" t="n"/>
      <c r="W351" s="62" t="n">
        <v>12</v>
      </c>
      <c r="X351" s="62" t="n">
        <v>12</v>
      </c>
      <c r="Y351" s="456" t="n"/>
      <c r="Z351" s="69" t="n"/>
      <c r="AA351" s="62" t="n">
        <v>300</v>
      </c>
      <c r="AB351" s="62" t="n">
        <v>300</v>
      </c>
      <c r="AC351" s="73" t="n"/>
      <c r="AD351" s="69" t="n"/>
      <c r="AE351" s="69" t="n"/>
      <c r="AF351" s="73" t="n"/>
      <c r="AG351" s="69" t="n"/>
      <c r="AH351" s="85" t="n"/>
    </row>
    <row r="352">
      <c r="A352" s="82" t="n">
        <v>398</v>
      </c>
      <c r="B352" s="75" t="n">
        <v>81859037</v>
      </c>
      <c r="C352" s="62" t="inlineStr">
        <is>
          <t>TA25AWR047</t>
        </is>
      </c>
      <c r="D352" s="62" t="inlineStr">
        <is>
          <t>Utility</t>
        </is>
      </c>
      <c r="E352" s="62" t="n">
        <v>61</v>
      </c>
      <c r="F352" s="62" t="inlineStr">
        <is>
          <t>CHECK VALVE</t>
        </is>
      </c>
      <c r="G352" s="62" t="n"/>
      <c r="H352" s="69" t="n"/>
      <c r="I352" s="69" t="n"/>
      <c r="J352" s="129" t="inlineStr">
        <is>
          <t>M237-6-AL-61023-31172-95CPUF</t>
        </is>
      </c>
      <c r="K352" s="69" t="n"/>
      <c r="L352" s="69" t="n"/>
      <c r="M352" s="62" t="inlineStr">
        <is>
          <t>Valve Overhaul at Workshop</t>
        </is>
      </c>
      <c r="N352" s="69" t="inlineStr">
        <is>
          <t>LENOG_PCFSSB_RR_001</t>
        </is>
      </c>
      <c r="O352" s="69" t="inlineStr">
        <is>
          <t>LENOG_PCFSSB_CR_001</t>
        </is>
      </c>
      <c r="P352" s="69" t="inlineStr">
        <is>
          <t>LENOG_PCFSSB_FR_001</t>
        </is>
      </c>
      <c r="Q352" s="69" t="inlineStr">
        <is>
          <t>LENOG_PCFSSB_SR_001</t>
        </is>
      </c>
      <c r="R352" s="69" t="n"/>
      <c r="S352" s="69" t="n"/>
      <c r="T352" s="69" t="n"/>
      <c r="U352" s="69" t="n"/>
      <c r="V352" s="69" t="n"/>
      <c r="W352" s="62" t="n">
        <v>6</v>
      </c>
      <c r="X352" s="62" t="n">
        <v>6</v>
      </c>
      <c r="Y352" s="456" t="n"/>
      <c r="Z352" s="69" t="n"/>
      <c r="AA352" s="62" t="n">
        <v>150</v>
      </c>
      <c r="AB352" s="62" t="n">
        <v>150</v>
      </c>
      <c r="AC352" s="73" t="n"/>
      <c r="AD352" s="69" t="n"/>
      <c r="AE352" s="69" t="n"/>
      <c r="AF352" s="73" t="n"/>
      <c r="AG352" s="69" t="n"/>
      <c r="AH352" s="85" t="n"/>
    </row>
    <row r="353">
      <c r="A353" s="82" t="n">
        <v>399</v>
      </c>
      <c r="B353" s="75" t="n">
        <v>81859038</v>
      </c>
      <c r="C353" s="62" t="inlineStr">
        <is>
          <t>TA25AWR047</t>
        </is>
      </c>
      <c r="D353" s="62" t="inlineStr">
        <is>
          <t>Utility</t>
        </is>
      </c>
      <c r="E353" s="62" t="n">
        <v>61</v>
      </c>
      <c r="F353" s="62" t="inlineStr">
        <is>
          <t>CHECK VALVE</t>
        </is>
      </c>
      <c r="G353" s="62" t="n"/>
      <c r="H353" s="69" t="n"/>
      <c r="I353" s="69" t="n"/>
      <c r="J353" s="129" t="inlineStr">
        <is>
          <t>M237-4-AL-61014-31172-85CPUF</t>
        </is>
      </c>
      <c r="K353" s="69" t="n"/>
      <c r="L353" s="69" t="n"/>
      <c r="M353" s="62" t="inlineStr">
        <is>
          <t>Valve Overhaul at Workshop</t>
        </is>
      </c>
      <c r="N353" s="69" t="inlineStr">
        <is>
          <t>LENOG_PCFSSB_RR_001</t>
        </is>
      </c>
      <c r="O353" s="69" t="inlineStr">
        <is>
          <t>LENOG_PCFSSB_CR_001</t>
        </is>
      </c>
      <c r="P353" s="69" t="inlineStr">
        <is>
          <t>LENOG_PCFSSB_FR_001</t>
        </is>
      </c>
      <c r="Q353" s="69" t="inlineStr">
        <is>
          <t>LENOG_PCFSSB_SR_001</t>
        </is>
      </c>
      <c r="R353" s="69" t="n"/>
      <c r="S353" s="69" t="n"/>
      <c r="T353" s="69" t="n"/>
      <c r="U353" s="69" t="n"/>
      <c r="V353" s="69" t="n"/>
      <c r="W353" s="62" t="n">
        <v>4</v>
      </c>
      <c r="X353" s="62" t="n">
        <v>4</v>
      </c>
      <c r="Y353" s="456" t="n"/>
      <c r="Z353" s="69" t="n"/>
      <c r="AA353" s="62" t="n">
        <v>150</v>
      </c>
      <c r="AB353" s="62" t="n">
        <v>150</v>
      </c>
      <c r="AC353" s="73" t="n"/>
      <c r="AD353" s="69" t="n"/>
      <c r="AE353" s="69" t="n"/>
      <c r="AF353" s="73" t="n"/>
      <c r="AG353" s="69" t="n"/>
      <c r="AH353" s="85" t="n"/>
    </row>
    <row r="354">
      <c r="A354" s="82" t="n">
        <v>400</v>
      </c>
      <c r="B354" s="77" t="n">
        <v>81089109</v>
      </c>
      <c r="C354" s="65" t="n"/>
      <c r="D354" s="62" t="inlineStr">
        <is>
          <t>Ammonia</t>
        </is>
      </c>
      <c r="E354" s="65" t="n"/>
      <c r="F354" s="65" t="inlineStr">
        <is>
          <t>VALVE</t>
        </is>
      </c>
      <c r="G354" s="65" t="n"/>
      <c r="H354" s="69" t="n"/>
      <c r="I354" s="69" t="n"/>
      <c r="J354" s="129" t="inlineStr">
        <is>
          <t>M237-13FV-018</t>
        </is>
      </c>
      <c r="K354" s="69" t="n"/>
      <c r="L354" s="69" t="n"/>
      <c r="M354" s="65" t="inlineStr">
        <is>
          <t>SERVICE VALVE IN-SITU</t>
        </is>
      </c>
      <c r="N354" s="69" t="n"/>
      <c r="O354" s="69" t="n"/>
      <c r="P354" s="69" t="n"/>
      <c r="Q354" s="69" t="n"/>
      <c r="R354" s="69" t="n"/>
      <c r="S354" s="69" t="n"/>
      <c r="T354" s="69" t="n"/>
      <c r="U354" s="69" t="n"/>
      <c r="V354" s="69" t="n"/>
      <c r="W354" s="65" t="n">
        <v>14</v>
      </c>
      <c r="X354" s="65" t="n">
        <v>14</v>
      </c>
      <c r="Y354" s="456" t="n"/>
      <c r="Z354" s="69" t="n"/>
      <c r="AA354" s="65" t="n">
        <v>1500</v>
      </c>
      <c r="AB354" s="65" t="n">
        <v>1500</v>
      </c>
      <c r="AC354" s="73" t="n"/>
      <c r="AD354" s="69" t="n"/>
      <c r="AE354" s="69" t="n"/>
      <c r="AF354" s="73" t="n"/>
      <c r="AG354" s="69" t="n"/>
      <c r="AH354" s="85" t="n"/>
    </row>
    <row r="355">
      <c r="A355" s="82" t="n">
        <v>401</v>
      </c>
      <c r="B355" s="78" t="n">
        <v>81138768</v>
      </c>
      <c r="C355" s="65" t="inlineStr">
        <is>
          <t>AWR595</t>
        </is>
      </c>
      <c r="D355" s="65" t="inlineStr">
        <is>
          <t>UTILITY</t>
        </is>
      </c>
      <c r="E355" s="65" t="inlineStr">
        <is>
          <t>Unit 48</t>
        </is>
      </c>
      <c r="F355" s="65" t="inlineStr">
        <is>
          <t>VALVE</t>
        </is>
      </c>
      <c r="G355" s="65" t="inlineStr">
        <is>
          <t>KSB</t>
        </is>
      </c>
      <c r="H355" s="69" t="n"/>
      <c r="I355" s="69" t="n"/>
      <c r="J355" s="129" t="inlineStr">
        <is>
          <t>M237-B-48-11C</t>
        </is>
      </c>
      <c r="K355" s="69" t="n"/>
      <c r="L355" s="69" t="n"/>
      <c r="M355" s="62" t="inlineStr">
        <is>
          <t>Valve Overhaul at Workshop</t>
        </is>
      </c>
      <c r="N355" s="69" t="inlineStr">
        <is>
          <t>LENOG_PCFSSB_RR_001</t>
        </is>
      </c>
      <c r="O355" s="69" t="inlineStr">
        <is>
          <t>LENOG_PCFSSB_CR_001</t>
        </is>
      </c>
      <c r="P355" s="69" t="inlineStr">
        <is>
          <t>LENOG_PCFSSB_FR_001</t>
        </is>
      </c>
      <c r="Q355" s="69" t="inlineStr">
        <is>
          <t>LENOG_PCFSSB_SR_001</t>
        </is>
      </c>
      <c r="R355" s="69" t="n"/>
      <c r="S355" s="69" t="n"/>
      <c r="T355" s="69" t="n"/>
      <c r="U355" s="69" t="n"/>
      <c r="V355" s="69" t="n"/>
      <c r="W355" s="65" t="n">
        <v>8</v>
      </c>
      <c r="X355" s="65" t="n">
        <v>8</v>
      </c>
      <c r="Y355" s="456" t="n"/>
      <c r="Z355" s="69" t="n"/>
      <c r="AA355" s="65" t="n">
        <v>600</v>
      </c>
      <c r="AB355" s="65" t="n">
        <v>600</v>
      </c>
      <c r="AC355" s="73" t="n"/>
      <c r="AD355" s="69" t="n"/>
      <c r="AE355" s="69" t="n"/>
      <c r="AF355" s="73" t="n"/>
      <c r="AG355" s="69" t="n"/>
      <c r="AH355" s="85" t="n"/>
    </row>
    <row r="356">
      <c r="A356" s="82" t="n">
        <v>402</v>
      </c>
      <c r="B356" s="78" t="n">
        <v>81644541</v>
      </c>
      <c r="C356" s="65" t="n"/>
      <c r="D356" s="62" t="inlineStr">
        <is>
          <t>UREA</t>
        </is>
      </c>
      <c r="E356" s="65" t="n"/>
      <c r="F356" s="66" t="inlineStr">
        <is>
          <t>GATE VALVE</t>
        </is>
      </c>
      <c r="G356" s="65" t="n"/>
      <c r="H356" s="69" t="n"/>
      <c r="I356" s="69" t="n"/>
      <c r="J356" s="66" t="inlineStr">
        <is>
          <t>M237-P-32-03B</t>
        </is>
      </c>
      <c r="K356" s="69" t="n"/>
      <c r="L356" s="69" t="n"/>
      <c r="M356" s="62" t="inlineStr">
        <is>
          <t>Valve Overhaul at Workshop</t>
        </is>
      </c>
      <c r="N356" s="69" t="inlineStr">
        <is>
          <t>LENOG_PCFSSB_RR_001</t>
        </is>
      </c>
      <c r="O356" s="69" t="inlineStr">
        <is>
          <t>LENOG_PCFSSB_CR_001</t>
        </is>
      </c>
      <c r="P356" s="69" t="inlineStr">
        <is>
          <t>LENOG_PCFSSB_FR_001</t>
        </is>
      </c>
      <c r="Q356" s="69" t="inlineStr">
        <is>
          <t>LENOG_PCFSSB_SR_001</t>
        </is>
      </c>
      <c r="R356" s="69" t="n"/>
      <c r="S356" s="69" t="n"/>
      <c r="T356" s="69" t="n"/>
      <c r="U356" s="69" t="n"/>
      <c r="V356" s="69" t="n"/>
      <c r="W356" s="62" t="n">
        <v>12</v>
      </c>
      <c r="X356" s="62" t="n">
        <v>12</v>
      </c>
      <c r="Y356" s="456" t="n"/>
      <c r="Z356" s="69" t="n"/>
      <c r="AA356" s="62" t="n">
        <v>300</v>
      </c>
      <c r="AB356" s="62" t="n">
        <v>300</v>
      </c>
      <c r="AC356" s="73" t="n"/>
      <c r="AD356" s="69" t="n"/>
      <c r="AE356" s="69" t="n"/>
      <c r="AF356" s="73" t="n"/>
      <c r="AG356" s="69" t="n"/>
      <c r="AH356" s="85" t="n"/>
    </row>
    <row r="357">
      <c r="A357" s="82" t="n">
        <v>403</v>
      </c>
      <c r="B357" s="77" t="n">
        <v>81656652</v>
      </c>
      <c r="C357" s="65" t="n"/>
      <c r="D357" s="62" t="inlineStr">
        <is>
          <t>Ammonia</t>
        </is>
      </c>
      <c r="E357" s="65" t="n"/>
      <c r="F357" s="65" t="inlineStr">
        <is>
          <t>CHECK VALVE</t>
        </is>
      </c>
      <c r="G357" s="65" t="n"/>
      <c r="H357" s="69" t="n"/>
      <c r="I357" s="69" t="n"/>
      <c r="J357" s="65" t="inlineStr">
        <is>
          <t>M237-E-16-06</t>
        </is>
      </c>
      <c r="K357" s="69" t="n"/>
      <c r="L357" s="69" t="n"/>
      <c r="M357" s="65" t="inlineStr">
        <is>
          <t>SERVICE VALVE IN-SITU</t>
        </is>
      </c>
      <c r="N357" s="69" t="n"/>
      <c r="O357" s="69" t="n"/>
      <c r="P357" s="69" t="n"/>
      <c r="Q357" s="69" t="n"/>
      <c r="R357" s="69" t="n"/>
      <c r="S357" s="69" t="n"/>
      <c r="T357" s="69" t="n"/>
      <c r="U357" s="69" t="n"/>
      <c r="V357" s="69" t="n"/>
      <c r="W357" s="65" t="n">
        <v>24</v>
      </c>
      <c r="X357" s="65" t="n">
        <v>24</v>
      </c>
      <c r="Y357" s="456" t="n"/>
      <c r="Z357" s="69" t="n"/>
      <c r="AA357" s="65" t="n">
        <v>150</v>
      </c>
      <c r="AB357" s="65" t="n">
        <v>150</v>
      </c>
      <c r="AC357" s="73" t="n"/>
      <c r="AD357" s="69" t="n"/>
      <c r="AE357" s="69" t="n"/>
      <c r="AF357" s="73" t="n"/>
      <c r="AG357" s="69" t="n"/>
      <c r="AH357" s="85" t="n"/>
    </row>
    <row r="358">
      <c r="A358" s="82" t="n">
        <v>405</v>
      </c>
      <c r="B358" s="78" t="n">
        <v>81744414</v>
      </c>
      <c r="C358" s="134" t="inlineStr">
        <is>
          <t>AWR041</t>
        </is>
      </c>
      <c r="D358" s="135" t="inlineStr">
        <is>
          <t>AMMONIA</t>
        </is>
      </c>
      <c r="E358" s="65" t="inlineStr">
        <is>
          <t>Unit 54</t>
        </is>
      </c>
      <c r="F358" s="134" t="inlineStr">
        <is>
          <t>VALVE</t>
        </is>
      </c>
      <c r="G358" s="134" t="inlineStr">
        <is>
          <t>CEPHAS PIPELINES</t>
        </is>
      </c>
      <c r="H358" s="69" t="n"/>
      <c r="I358" s="69" t="n"/>
      <c r="J358" s="131" t="inlineStr">
        <is>
          <t>M237-20-EWR-54002I-11201</t>
        </is>
      </c>
      <c r="K358" s="69" t="n"/>
      <c r="L358" s="69" t="n"/>
      <c r="M358" s="62" t="inlineStr">
        <is>
          <t>Valve Overhaul at Workshop</t>
        </is>
      </c>
      <c r="N358" s="69" t="inlineStr">
        <is>
          <t>LENOG_PCFSSB_RR_001</t>
        </is>
      </c>
      <c r="O358" s="69" t="inlineStr">
        <is>
          <t>LENOG_PCFSSB_CR_001</t>
        </is>
      </c>
      <c r="P358" s="69" t="inlineStr">
        <is>
          <t>LENOG_PCFSSB_FR_001</t>
        </is>
      </c>
      <c r="Q358" s="69" t="inlineStr">
        <is>
          <t>LENOG_PCFSSB_SR_001</t>
        </is>
      </c>
      <c r="R358" s="69" t="n"/>
      <c r="S358" s="69" t="n"/>
      <c r="T358" s="69" t="n"/>
      <c r="U358" s="69" t="n"/>
      <c r="V358" s="69" t="n"/>
      <c r="W358" s="65" t="n">
        <v>20</v>
      </c>
      <c r="X358" s="65" t="n">
        <v>20</v>
      </c>
      <c r="Y358" s="456" t="n"/>
      <c r="Z358" s="69" t="n"/>
      <c r="AA358" s="65" t="n">
        <v>150</v>
      </c>
      <c r="AB358" s="65" t="n">
        <v>150</v>
      </c>
      <c r="AC358" s="73" t="n"/>
      <c r="AD358" s="69" t="n"/>
      <c r="AE358" s="69" t="n"/>
      <c r="AF358" s="73" t="n"/>
      <c r="AG358" s="69" t="n"/>
      <c r="AH358" s="85" t="n"/>
    </row>
    <row r="359">
      <c r="A359" s="82" t="n">
        <v>406</v>
      </c>
      <c r="B359" s="78" t="n">
        <v>81752789</v>
      </c>
      <c r="C359" s="65" t="inlineStr">
        <is>
          <t>AWR087</t>
        </is>
      </c>
      <c r="D359" s="62" t="inlineStr">
        <is>
          <t>Utility</t>
        </is>
      </c>
      <c r="E359" s="65" t="inlineStr">
        <is>
          <t>Unit 53</t>
        </is>
      </c>
      <c r="F359" s="65" t="inlineStr">
        <is>
          <t>VALVE</t>
        </is>
      </c>
      <c r="G359" s="65" t="inlineStr">
        <is>
          <t>ORION</t>
        </is>
      </c>
      <c r="H359" s="69" t="n"/>
      <c r="I359" s="69" t="n"/>
      <c r="J359" s="131" t="inlineStr">
        <is>
          <t>M237-6GGTV-53-NO004B</t>
        </is>
      </c>
      <c r="K359" s="69" t="n"/>
      <c r="L359" s="69" t="n"/>
      <c r="M359" s="62" t="inlineStr">
        <is>
          <t>Gear Box Servicing &amp; Valve Packing Replacement</t>
        </is>
      </c>
      <c r="N359" s="69" t="n"/>
      <c r="O359" s="69" t="n"/>
      <c r="P359" s="69" t="n"/>
      <c r="Q359" s="69" t="n"/>
      <c r="R359" s="69" t="n"/>
      <c r="S359" s="69" t="n"/>
      <c r="T359" s="69" t="n"/>
      <c r="U359" s="69" t="n"/>
      <c r="V359" s="69" t="n"/>
      <c r="W359" s="65" t="n">
        <v>6</v>
      </c>
      <c r="X359" s="65" t="n">
        <v>6</v>
      </c>
      <c r="Y359" s="456" t="n"/>
      <c r="Z359" s="69" t="n"/>
      <c r="AA359" s="65" t="inlineStr">
        <is>
          <t>BW-1500</t>
        </is>
      </c>
      <c r="AB359" s="65" t="inlineStr">
        <is>
          <t>BW-1500</t>
        </is>
      </c>
      <c r="AC359" s="73" t="n"/>
      <c r="AD359" s="69" t="n"/>
      <c r="AE359" s="69" t="n"/>
      <c r="AF359" s="73" t="n"/>
      <c r="AG359" s="69" t="n"/>
      <c r="AH359" s="85" t="n"/>
    </row>
    <row r="360">
      <c r="A360" s="82" t="n">
        <v>407</v>
      </c>
      <c r="B360" s="78" t="n">
        <v>81755790</v>
      </c>
      <c r="C360" s="65" t="inlineStr">
        <is>
          <t>AWR088</t>
        </is>
      </c>
      <c r="D360" s="62" t="inlineStr">
        <is>
          <t>Utility</t>
        </is>
      </c>
      <c r="E360" s="65" t="inlineStr">
        <is>
          <t>Unit 53</t>
        </is>
      </c>
      <c r="F360" s="65" t="inlineStr">
        <is>
          <t>VALVE</t>
        </is>
      </c>
      <c r="G360" s="65" t="inlineStr">
        <is>
          <t>ORION</t>
        </is>
      </c>
      <c r="H360" s="69" t="n"/>
      <c r="I360" s="69" t="n"/>
      <c r="J360" s="131" t="inlineStr">
        <is>
          <t>M237-UTY-53-MISC-MVALVE</t>
        </is>
      </c>
      <c r="K360" s="69" t="n"/>
      <c r="L360" s="69" t="n"/>
      <c r="M360" s="62" t="inlineStr">
        <is>
          <t>Gear Box Servicing &amp; Valve Packing Replacement</t>
        </is>
      </c>
      <c r="N360" s="69" t="n"/>
      <c r="O360" s="69" t="n"/>
      <c r="P360" s="69" t="n"/>
      <c r="Q360" s="69" t="n"/>
      <c r="R360" s="69" t="n"/>
      <c r="S360" s="69" t="n"/>
      <c r="T360" s="69" t="n"/>
      <c r="U360" s="69" t="n"/>
      <c r="V360" s="69" t="n"/>
      <c r="W360" s="65" t="n">
        <v>6</v>
      </c>
      <c r="X360" s="65" t="n">
        <v>6</v>
      </c>
      <c r="Y360" s="456" t="n"/>
      <c r="Z360" s="69" t="n"/>
      <c r="AA360" s="65" t="inlineStr">
        <is>
          <t>BW-1500</t>
        </is>
      </c>
      <c r="AB360" s="65" t="inlineStr">
        <is>
          <t>BW-1500</t>
        </is>
      </c>
      <c r="AC360" s="73" t="n"/>
      <c r="AD360" s="69" t="n"/>
      <c r="AE360" s="69" t="n"/>
      <c r="AF360" s="73" t="n"/>
      <c r="AG360" s="69" t="n"/>
      <c r="AH360" s="85" t="n"/>
    </row>
    <row r="361">
      <c r="A361" s="82" t="n">
        <v>408</v>
      </c>
      <c r="B361" s="77" t="n">
        <v>81820648</v>
      </c>
      <c r="C361" s="65" t="n"/>
      <c r="D361" s="62" t="inlineStr">
        <is>
          <t>AMMONIA</t>
        </is>
      </c>
      <c r="E361" s="65" t="n"/>
      <c r="F361" s="65" t="inlineStr">
        <is>
          <t>CHECK VALVE</t>
        </is>
      </c>
      <c r="G361" s="65" t="n"/>
      <c r="H361" s="69" t="n"/>
      <c r="I361" s="69" t="n"/>
      <c r="J361" s="131" t="inlineStr">
        <is>
          <t>M237-31TV-008</t>
        </is>
      </c>
      <c r="K361" s="69" t="n"/>
      <c r="L361" s="69" t="n"/>
      <c r="M361" s="62" t="inlineStr">
        <is>
          <t>Valve Overhaul at Workshop</t>
        </is>
      </c>
      <c r="N361" s="69" t="inlineStr">
        <is>
          <t>LENOG_PCFSSB_RR_001</t>
        </is>
      </c>
      <c r="O361" s="69" t="inlineStr">
        <is>
          <t>LENOG_PCFSSB_CR_001</t>
        </is>
      </c>
      <c r="P361" s="69" t="inlineStr">
        <is>
          <t>LENOG_PCFSSB_FR_001</t>
        </is>
      </c>
      <c r="Q361" s="69" t="inlineStr">
        <is>
          <t>LENOG_PCFSSB_SR_001</t>
        </is>
      </c>
      <c r="R361" s="69" t="n"/>
      <c r="S361" s="69" t="n"/>
      <c r="T361" s="69" t="n"/>
      <c r="U361" s="69" t="n"/>
      <c r="V361" s="69" t="n"/>
      <c r="W361" s="65" t="n">
        <v>12</v>
      </c>
      <c r="X361" s="65" t="n">
        <v>12</v>
      </c>
      <c r="Y361" s="456" t="n"/>
      <c r="Z361" s="69" t="n"/>
      <c r="AA361" s="65" t="n">
        <v>150</v>
      </c>
      <c r="AB361" s="65" t="n">
        <v>150</v>
      </c>
      <c r="AC361" s="73" t="n"/>
      <c r="AD361" s="69" t="n"/>
      <c r="AE361" s="69" t="n"/>
      <c r="AF361" s="73" t="n"/>
      <c r="AG361" s="69" t="n"/>
      <c r="AH361" s="85" t="n"/>
    </row>
    <row r="362">
      <c r="A362" s="82" t="n">
        <v>409</v>
      </c>
      <c r="B362" s="77" t="n">
        <v>81831656</v>
      </c>
      <c r="C362" s="65" t="n"/>
      <c r="D362" s="62" t="inlineStr">
        <is>
          <t>AMMONIA</t>
        </is>
      </c>
      <c r="E362" s="65" t="n"/>
      <c r="F362" s="65" t="inlineStr">
        <is>
          <t>POWER TRAP</t>
        </is>
      </c>
      <c r="G362" s="65" t="n"/>
      <c r="H362" s="69" t="n"/>
      <c r="I362" s="69" t="n"/>
      <c r="J362" s="131" t="inlineStr">
        <is>
          <t>M237-PT-1501</t>
        </is>
      </c>
      <c r="K362" s="69" t="n"/>
      <c r="L362" s="69" t="n"/>
      <c r="M362" s="64" t="inlineStr">
        <is>
          <t>POWER TRAP SERVICING WORKSHOP</t>
        </is>
      </c>
      <c r="N362" s="69" t="n"/>
      <c r="O362" s="69" t="n"/>
      <c r="P362" s="69" t="n"/>
      <c r="Q362" s="69" t="n"/>
      <c r="R362" s="69" t="n"/>
      <c r="S362" s="69" t="n"/>
      <c r="T362" s="69" t="n"/>
      <c r="U362" s="69" t="n"/>
      <c r="V362" s="69" t="n"/>
      <c r="W362" s="65" t="n"/>
      <c r="X362" s="65" t="n"/>
      <c r="Y362" s="456" t="n"/>
      <c r="Z362" s="69" t="n"/>
      <c r="AA362" s="65" t="n"/>
      <c r="AB362" s="65" t="n"/>
      <c r="AC362" s="73" t="n"/>
      <c r="AD362" s="69" t="n"/>
      <c r="AE362" s="69" t="n"/>
      <c r="AF362" s="73" t="n"/>
      <c r="AG362" s="69" t="n"/>
      <c r="AH362" s="85" t="n"/>
    </row>
    <row r="363">
      <c r="A363" s="82" t="n">
        <v>410</v>
      </c>
      <c r="B363" s="78" t="n">
        <v>82060652</v>
      </c>
      <c r="C363" s="65" t="inlineStr">
        <is>
          <t>AWR884</t>
        </is>
      </c>
      <c r="D363" s="62" t="inlineStr">
        <is>
          <t>Utility</t>
        </is>
      </c>
      <c r="E363" s="65" t="inlineStr">
        <is>
          <t>Unit 53</t>
        </is>
      </c>
      <c r="F363" s="65" t="inlineStr">
        <is>
          <t>VALVE</t>
        </is>
      </c>
      <c r="G363" s="65" t="inlineStr">
        <is>
          <t>ORION</t>
        </is>
      </c>
      <c r="H363" s="69" t="n"/>
      <c r="I363" s="69" t="n"/>
      <c r="J363" s="131" t="inlineStr">
        <is>
          <t>M237-6BFW53009151260ASMEW25HMB</t>
        </is>
      </c>
      <c r="K363" s="69" t="n"/>
      <c r="L363" s="69" t="n"/>
      <c r="M363" s="62" t="inlineStr">
        <is>
          <t>Gear Box Servicing &amp; Valve Packing Replacement</t>
        </is>
      </c>
      <c r="N363" s="69" t="n"/>
      <c r="O363" s="69" t="n"/>
      <c r="P363" s="69" t="n"/>
      <c r="Q363" s="69" t="n"/>
      <c r="R363" s="69" t="n"/>
      <c r="S363" s="69" t="n"/>
      <c r="T363" s="69" t="n"/>
      <c r="U363" s="69" t="n"/>
      <c r="V363" s="69" t="n"/>
      <c r="W363" s="65" t="n">
        <v>6</v>
      </c>
      <c r="X363" s="65" t="n">
        <v>6</v>
      </c>
      <c r="Y363" s="456" t="n"/>
      <c r="Z363" s="69" t="n"/>
      <c r="AA363" s="65" t="inlineStr">
        <is>
          <t>BW-1500</t>
        </is>
      </c>
      <c r="AB363" s="65" t="inlineStr">
        <is>
          <t>BW-1500</t>
        </is>
      </c>
      <c r="AC363" s="73" t="n"/>
      <c r="AD363" s="69" t="n"/>
      <c r="AE363" s="69" t="n"/>
      <c r="AF363" s="73" t="n"/>
      <c r="AG363" s="69" t="n"/>
      <c r="AH363" s="85" t="n"/>
    </row>
    <row r="364">
      <c r="A364" s="82" t="n">
        <v>411</v>
      </c>
      <c r="B364" s="78" t="n">
        <v>82060660</v>
      </c>
      <c r="C364" s="65" t="inlineStr">
        <is>
          <t>AWR885</t>
        </is>
      </c>
      <c r="D364" s="62" t="inlineStr">
        <is>
          <t>Utility</t>
        </is>
      </c>
      <c r="E364" s="65" t="inlineStr">
        <is>
          <t>Unit 53</t>
        </is>
      </c>
      <c r="F364" s="65" t="inlineStr">
        <is>
          <t>VALVE</t>
        </is>
      </c>
      <c r="G364" s="65" t="inlineStr">
        <is>
          <t>ORION</t>
        </is>
      </c>
      <c r="H364" s="69" t="n"/>
      <c r="I364" s="69" t="n"/>
      <c r="J364" s="131" t="inlineStr">
        <is>
          <t>M237-6BFW53009151260ASMEW25HMB</t>
        </is>
      </c>
      <c r="K364" s="69" t="n"/>
      <c r="L364" s="69" t="n"/>
      <c r="M364" s="62" t="inlineStr">
        <is>
          <t>Gear Box Servicing &amp; Valve Packing Replacement</t>
        </is>
      </c>
      <c r="N364" s="69" t="n"/>
      <c r="O364" s="69" t="n"/>
      <c r="P364" s="69" t="n"/>
      <c r="Q364" s="69" t="n"/>
      <c r="R364" s="69" t="n"/>
      <c r="S364" s="69" t="n"/>
      <c r="T364" s="69" t="n"/>
      <c r="U364" s="69" t="n"/>
      <c r="V364" s="69" t="n"/>
      <c r="W364" s="65" t="n">
        <v>6</v>
      </c>
      <c r="X364" s="65" t="n">
        <v>6</v>
      </c>
      <c r="Y364" s="456" t="n"/>
      <c r="Z364" s="69" t="n"/>
      <c r="AA364" s="65" t="inlineStr">
        <is>
          <t>BW-1500</t>
        </is>
      </c>
      <c r="AB364" s="65" t="inlineStr">
        <is>
          <t>BW-1500</t>
        </is>
      </c>
      <c r="AC364" s="73" t="n"/>
      <c r="AD364" s="69" t="n"/>
      <c r="AE364" s="69" t="n"/>
      <c r="AF364" s="73" t="n"/>
      <c r="AG364" s="69" t="n"/>
      <c r="AH364" s="85" t="n"/>
    </row>
    <row r="365">
      <c r="A365" s="82" t="n">
        <v>412</v>
      </c>
      <c r="B365" s="78" t="n">
        <v>82060663</v>
      </c>
      <c r="C365" s="65" t="inlineStr">
        <is>
          <t>AWR886</t>
        </is>
      </c>
      <c r="D365" s="62" t="inlineStr">
        <is>
          <t>Utility</t>
        </is>
      </c>
      <c r="E365" s="65" t="inlineStr">
        <is>
          <t>Unit 53</t>
        </is>
      </c>
      <c r="F365" s="65" t="inlineStr">
        <is>
          <t>VALVE</t>
        </is>
      </c>
      <c r="G365" s="65" t="inlineStr">
        <is>
          <t>ORION</t>
        </is>
      </c>
      <c r="H365" s="69" t="n"/>
      <c r="I365" s="69" t="n"/>
      <c r="J365" s="65" t="inlineStr">
        <is>
          <t>M237-4BFW-53004-151260(M)25HMB</t>
        </is>
      </c>
      <c r="K365" s="69" t="n"/>
      <c r="L365" s="69" t="n"/>
      <c r="M365" s="62" t="inlineStr">
        <is>
          <t>Gear Box Servicing &amp; Valve Packing Replacement</t>
        </is>
      </c>
      <c r="N365" s="69" t="n"/>
      <c r="O365" s="69" t="n"/>
      <c r="P365" s="69" t="n"/>
      <c r="Q365" s="69" t="n"/>
      <c r="R365" s="69" t="n"/>
      <c r="S365" s="69" t="n"/>
      <c r="T365" s="69" t="n"/>
      <c r="U365" s="69" t="n"/>
      <c r="V365" s="69" t="n"/>
      <c r="W365" s="65" t="n">
        <v>4</v>
      </c>
      <c r="X365" s="65" t="n">
        <v>4</v>
      </c>
      <c r="Y365" s="456" t="n"/>
      <c r="Z365" s="69" t="n"/>
      <c r="AA365" s="65" t="inlineStr">
        <is>
          <t>BW-1500</t>
        </is>
      </c>
      <c r="AB365" s="65" t="inlineStr">
        <is>
          <t>BW-1500</t>
        </is>
      </c>
      <c r="AC365" s="73" t="n"/>
      <c r="AD365" s="69" t="n"/>
      <c r="AE365" s="69" t="n"/>
      <c r="AF365" s="73" t="n"/>
      <c r="AG365" s="69" t="n"/>
      <c r="AH365" s="85" t="n"/>
    </row>
    <row r="366">
      <c r="A366" s="82" t="n">
        <v>413</v>
      </c>
      <c r="B366" s="78" t="n">
        <v>82060672</v>
      </c>
      <c r="C366" s="65" t="inlineStr">
        <is>
          <t>AWR887</t>
        </is>
      </c>
      <c r="D366" s="62" t="inlineStr">
        <is>
          <t>Utility</t>
        </is>
      </c>
      <c r="E366" s="65" t="inlineStr">
        <is>
          <t>Unit 53</t>
        </is>
      </c>
      <c r="F366" s="65" t="inlineStr">
        <is>
          <t>VALVE</t>
        </is>
      </c>
      <c r="G366" s="65" t="inlineStr">
        <is>
          <t>ORION</t>
        </is>
      </c>
      <c r="H366" s="69" t="n"/>
      <c r="I366" s="69" t="n"/>
      <c r="J366" s="65" t="inlineStr">
        <is>
          <t>M237-6BFW53009151260ASMEW25HMB</t>
        </is>
      </c>
      <c r="K366" s="69" t="n"/>
      <c r="L366" s="69" t="n"/>
      <c r="M366" s="62" t="inlineStr">
        <is>
          <t>Gear Box Servicing &amp; Valve Packing Replacement</t>
        </is>
      </c>
      <c r="N366" s="69" t="n"/>
      <c r="O366" s="69" t="n"/>
      <c r="P366" s="69" t="n"/>
      <c r="Q366" s="69" t="n"/>
      <c r="R366" s="69" t="n"/>
      <c r="S366" s="69" t="n"/>
      <c r="T366" s="69" t="n"/>
      <c r="U366" s="69" t="n"/>
      <c r="V366" s="69" t="n"/>
      <c r="W366" s="65" t="n">
        <v>6</v>
      </c>
      <c r="X366" s="65" t="n">
        <v>6</v>
      </c>
      <c r="Y366" s="456" t="n"/>
      <c r="Z366" s="69" t="n"/>
      <c r="AA366" s="65" t="inlineStr">
        <is>
          <t>BW-1500</t>
        </is>
      </c>
      <c r="AB366" s="65" t="inlineStr">
        <is>
          <t>BW-1500</t>
        </is>
      </c>
      <c r="AC366" s="73" t="n"/>
      <c r="AD366" s="69" t="n"/>
      <c r="AE366" s="69" t="n"/>
      <c r="AF366" s="73" t="n"/>
      <c r="AG366" s="69" t="n"/>
      <c r="AH366" s="85" t="n"/>
    </row>
    <row r="367">
      <c r="A367" s="82" t="n">
        <v>414</v>
      </c>
      <c r="B367" s="78" t="n">
        <v>82060683</v>
      </c>
      <c r="C367" s="65" t="inlineStr">
        <is>
          <t>AWR891</t>
        </is>
      </c>
      <c r="D367" s="62" t="inlineStr">
        <is>
          <t>Utility</t>
        </is>
      </c>
      <c r="E367" s="65" t="inlineStr">
        <is>
          <t>Unit 53</t>
        </is>
      </c>
      <c r="F367" s="65" t="inlineStr">
        <is>
          <t>VALVE</t>
        </is>
      </c>
      <c r="G367" s="65" t="inlineStr">
        <is>
          <t>ORION</t>
        </is>
      </c>
      <c r="H367" s="69" t="n"/>
      <c r="I367" s="69" t="n"/>
      <c r="J367" s="65" t="inlineStr">
        <is>
          <t>M237-6BFW53009151260ASMEW25HMB</t>
        </is>
      </c>
      <c r="K367" s="69" t="n"/>
      <c r="L367" s="69" t="n"/>
      <c r="M367" s="62" t="inlineStr">
        <is>
          <t>Gear Box Servicing &amp; Valve Packing Replacement</t>
        </is>
      </c>
      <c r="N367" s="69" t="n"/>
      <c r="O367" s="69" t="n"/>
      <c r="P367" s="69" t="n"/>
      <c r="Q367" s="69" t="n"/>
      <c r="R367" s="69" t="n"/>
      <c r="S367" s="69" t="n"/>
      <c r="T367" s="69" t="n"/>
      <c r="U367" s="69" t="n"/>
      <c r="V367" s="69" t="n"/>
      <c r="W367" s="65" t="n">
        <v>6</v>
      </c>
      <c r="X367" s="65" t="n">
        <v>6</v>
      </c>
      <c r="Y367" s="456" t="n"/>
      <c r="Z367" s="69" t="n"/>
      <c r="AA367" s="65" t="inlineStr">
        <is>
          <t>BW-1500</t>
        </is>
      </c>
      <c r="AB367" s="65" t="inlineStr">
        <is>
          <t>BW-1500</t>
        </is>
      </c>
      <c r="AC367" s="73" t="n"/>
      <c r="AD367" s="69" t="n"/>
      <c r="AE367" s="69" t="n"/>
      <c r="AF367" s="73" t="n"/>
      <c r="AG367" s="69" t="n"/>
      <c r="AH367" s="85" t="n"/>
    </row>
    <row r="368">
      <c r="A368" s="82" t="n">
        <v>415</v>
      </c>
      <c r="B368" s="78" t="n">
        <v>82060684</v>
      </c>
      <c r="C368" s="65" t="inlineStr">
        <is>
          <t>AWR893</t>
        </is>
      </c>
      <c r="D368" s="62" t="inlineStr">
        <is>
          <t>Utility</t>
        </is>
      </c>
      <c r="E368" s="65" t="inlineStr">
        <is>
          <t>Unit 53</t>
        </is>
      </c>
      <c r="F368" s="65" t="inlineStr">
        <is>
          <t>VALVE</t>
        </is>
      </c>
      <c r="G368" s="65" t="inlineStr">
        <is>
          <t>ORION</t>
        </is>
      </c>
      <c r="H368" s="69" t="n"/>
      <c r="I368" s="69" t="n"/>
      <c r="J368" s="65" t="inlineStr">
        <is>
          <t>M237-4BFW-53004-151260(M)25HMB</t>
        </is>
      </c>
      <c r="K368" s="69" t="n"/>
      <c r="L368" s="69" t="n"/>
      <c r="M368" s="62" t="inlineStr">
        <is>
          <t>Gear Box Servicing &amp; Valve Packing Replacement</t>
        </is>
      </c>
      <c r="N368" s="69" t="n"/>
      <c r="O368" s="69" t="n"/>
      <c r="P368" s="69" t="n"/>
      <c r="Q368" s="69" t="n"/>
      <c r="R368" s="69" t="n"/>
      <c r="S368" s="69" t="n"/>
      <c r="T368" s="69" t="n"/>
      <c r="U368" s="69" t="n"/>
      <c r="V368" s="69" t="n"/>
      <c r="W368" s="65" t="n">
        <v>4</v>
      </c>
      <c r="X368" s="65" t="n">
        <v>4</v>
      </c>
      <c r="Y368" s="456" t="n"/>
      <c r="Z368" s="69" t="n"/>
      <c r="AA368" s="65" t="inlineStr">
        <is>
          <t>BW-1500</t>
        </is>
      </c>
      <c r="AB368" s="65" t="inlineStr">
        <is>
          <t>BW-1500</t>
        </is>
      </c>
      <c r="AC368" s="73" t="n"/>
      <c r="AD368" s="69" t="n"/>
      <c r="AE368" s="69" t="n"/>
      <c r="AF368" s="73" t="n"/>
      <c r="AG368" s="69" t="n"/>
      <c r="AH368" s="85" t="n"/>
    </row>
    <row r="369">
      <c r="A369" s="82" t="n">
        <v>416</v>
      </c>
      <c r="B369" s="78" t="n">
        <v>82060687</v>
      </c>
      <c r="C369" s="65" t="inlineStr">
        <is>
          <t>AWR882</t>
        </is>
      </c>
      <c r="D369" s="62" t="inlineStr">
        <is>
          <t>Utility</t>
        </is>
      </c>
      <c r="E369" s="65" t="inlineStr">
        <is>
          <t>Unit 53</t>
        </is>
      </c>
      <c r="F369" s="65" t="inlineStr">
        <is>
          <t>VALVE</t>
        </is>
      </c>
      <c r="G369" s="65" t="inlineStr">
        <is>
          <t>ORION</t>
        </is>
      </c>
      <c r="H369" s="69" t="n"/>
      <c r="I369" s="69" t="n"/>
      <c r="J369" s="65" t="inlineStr">
        <is>
          <t>M237-UTY-53-MISC-PIPE</t>
        </is>
      </c>
      <c r="K369" s="69" t="n"/>
      <c r="L369" s="69" t="n"/>
      <c r="M369" s="62" t="inlineStr">
        <is>
          <t>Gear Box Servicing &amp; Valve Packing Replacement</t>
        </is>
      </c>
      <c r="N369" s="69" t="n"/>
      <c r="O369" s="69" t="n"/>
      <c r="P369" s="69" t="n"/>
      <c r="Q369" s="69" t="n"/>
      <c r="R369" s="69" t="n"/>
      <c r="S369" s="69" t="n"/>
      <c r="T369" s="69" t="n"/>
      <c r="U369" s="69" t="n"/>
      <c r="V369" s="69" t="n"/>
      <c r="W369" s="65" t="n">
        <v>6</v>
      </c>
      <c r="X369" s="65" t="n">
        <v>6</v>
      </c>
      <c r="Y369" s="456" t="n"/>
      <c r="Z369" s="69" t="n"/>
      <c r="AA369" s="65" t="inlineStr">
        <is>
          <t>BW-1500</t>
        </is>
      </c>
      <c r="AB369" s="65" t="inlineStr">
        <is>
          <t>BW-1500</t>
        </is>
      </c>
      <c r="AC369" s="73" t="n"/>
      <c r="AD369" s="69" t="n"/>
      <c r="AE369" s="69" t="n"/>
      <c r="AF369" s="73" t="n"/>
      <c r="AG369" s="69" t="n"/>
      <c r="AH369" s="85" t="n"/>
    </row>
    <row r="370">
      <c r="A370" s="82" t="n">
        <v>417</v>
      </c>
      <c r="B370" s="78" t="n">
        <v>82060688</v>
      </c>
      <c r="C370" s="65" t="inlineStr">
        <is>
          <t>AWR883</t>
        </is>
      </c>
      <c r="D370" s="62" t="inlineStr">
        <is>
          <t>Utility</t>
        </is>
      </c>
      <c r="E370" s="65" t="inlineStr">
        <is>
          <t>Unit 53</t>
        </is>
      </c>
      <c r="F370" s="65" t="inlineStr">
        <is>
          <t>VALVE</t>
        </is>
      </c>
      <c r="G370" s="65" t="inlineStr">
        <is>
          <t>ORION</t>
        </is>
      </c>
      <c r="H370" s="69" t="n"/>
      <c r="I370" s="69" t="n"/>
      <c r="J370" s="65" t="inlineStr">
        <is>
          <t>M237-6BFW53009151260ASMEW25HMB</t>
        </is>
      </c>
      <c r="K370" s="69" t="n"/>
      <c r="L370" s="69" t="n"/>
      <c r="M370" s="62" t="inlineStr">
        <is>
          <t>Gear Box Servicing &amp; Valve Packing Replacement</t>
        </is>
      </c>
      <c r="N370" s="69" t="n"/>
      <c r="O370" s="69" t="n"/>
      <c r="P370" s="69" t="n"/>
      <c r="Q370" s="69" t="n"/>
      <c r="R370" s="69" t="n"/>
      <c r="S370" s="69" t="n"/>
      <c r="T370" s="69" t="n"/>
      <c r="U370" s="69" t="n"/>
      <c r="V370" s="69" t="n"/>
      <c r="W370" s="65" t="n">
        <v>10</v>
      </c>
      <c r="X370" s="65" t="n">
        <v>10</v>
      </c>
      <c r="Y370" s="456" t="n"/>
      <c r="Z370" s="69" t="n"/>
      <c r="AA370" s="65" t="inlineStr">
        <is>
          <t>BW-2500</t>
        </is>
      </c>
      <c r="AB370" s="65" t="inlineStr">
        <is>
          <t>BW-2500</t>
        </is>
      </c>
      <c r="AC370" s="73" t="n"/>
      <c r="AD370" s="69" t="n"/>
      <c r="AE370" s="69" t="n"/>
      <c r="AF370" s="73" t="n"/>
      <c r="AG370" s="69" t="n"/>
      <c r="AH370" s="85" t="n"/>
    </row>
    <row r="371">
      <c r="A371" s="82" t="n">
        <v>418</v>
      </c>
      <c r="B371" s="78" t="n">
        <v>82060690</v>
      </c>
      <c r="C371" s="65" t="inlineStr">
        <is>
          <t>AWR889</t>
        </is>
      </c>
      <c r="D371" s="62" t="inlineStr">
        <is>
          <t>Utility</t>
        </is>
      </c>
      <c r="E371" s="65" t="inlineStr">
        <is>
          <t>Unit 53</t>
        </is>
      </c>
      <c r="F371" s="65" t="inlineStr">
        <is>
          <t>VALVE</t>
        </is>
      </c>
      <c r="G371" s="65" t="inlineStr">
        <is>
          <t>ORION</t>
        </is>
      </c>
      <c r="H371" s="69" t="n"/>
      <c r="I371" s="69" t="n"/>
      <c r="J371" s="65" t="inlineStr">
        <is>
          <t>M237-UTY-53-MISC-PIP</t>
        </is>
      </c>
      <c r="K371" s="69" t="n"/>
      <c r="L371" s="69" t="n"/>
      <c r="M371" s="62" t="inlineStr">
        <is>
          <t>Gear Box Servicing &amp; Valve Packing Replacement</t>
        </is>
      </c>
      <c r="N371" s="69" t="n"/>
      <c r="O371" s="69" t="n"/>
      <c r="P371" s="69" t="n"/>
      <c r="Q371" s="69" t="n"/>
      <c r="R371" s="69" t="n"/>
      <c r="S371" s="69" t="n"/>
      <c r="T371" s="69" t="n"/>
      <c r="U371" s="69" t="n"/>
      <c r="V371" s="69" t="n"/>
      <c r="W371" s="65" t="n">
        <v>6</v>
      </c>
      <c r="X371" s="65" t="n">
        <v>6</v>
      </c>
      <c r="Y371" s="456" t="n"/>
      <c r="Z371" s="69" t="n"/>
      <c r="AA371" s="65" t="inlineStr">
        <is>
          <t>BW-1500</t>
        </is>
      </c>
      <c r="AB371" s="65" t="inlineStr">
        <is>
          <t>BW-1500</t>
        </is>
      </c>
      <c r="AC371" s="73" t="n"/>
      <c r="AD371" s="69" t="n"/>
      <c r="AE371" s="69" t="n"/>
      <c r="AF371" s="73" t="n"/>
      <c r="AG371" s="69" t="n"/>
      <c r="AH371" s="85" t="n"/>
    </row>
    <row r="372">
      <c r="A372" s="82" t="n">
        <v>419</v>
      </c>
      <c r="B372" s="78" t="n">
        <v>82060691</v>
      </c>
      <c r="C372" s="65" t="inlineStr">
        <is>
          <t>AWR890</t>
        </is>
      </c>
      <c r="D372" s="62" t="inlineStr">
        <is>
          <t>Utility</t>
        </is>
      </c>
      <c r="E372" s="65" t="inlineStr">
        <is>
          <t>Unit 53</t>
        </is>
      </c>
      <c r="F372" s="65" t="inlineStr">
        <is>
          <t>VALVE</t>
        </is>
      </c>
      <c r="G372" s="65" t="inlineStr">
        <is>
          <t>ORION</t>
        </is>
      </c>
      <c r="H372" s="69" t="n"/>
      <c r="I372" s="69" t="n"/>
      <c r="J372" s="65" t="inlineStr">
        <is>
          <t>M237-UTY-53-MISC-PIPE</t>
        </is>
      </c>
      <c r="K372" s="69" t="n"/>
      <c r="L372" s="69" t="n"/>
      <c r="M372" s="62" t="inlineStr">
        <is>
          <t>Gear Box Servicing &amp; Valve Packing Replacement</t>
        </is>
      </c>
      <c r="N372" s="69" t="n"/>
      <c r="O372" s="69" t="n"/>
      <c r="P372" s="69" t="n"/>
      <c r="Q372" s="69" t="n"/>
      <c r="R372" s="69" t="n"/>
      <c r="S372" s="69" t="n"/>
      <c r="T372" s="69" t="n"/>
      <c r="U372" s="69" t="n"/>
      <c r="V372" s="69" t="n"/>
      <c r="W372" s="65" t="n">
        <v>10</v>
      </c>
      <c r="X372" s="65" t="n">
        <v>10</v>
      </c>
      <c r="Y372" s="456" t="n"/>
      <c r="Z372" s="69" t="n"/>
      <c r="AA372" s="65" t="inlineStr">
        <is>
          <t>BW-2500</t>
        </is>
      </c>
      <c r="AB372" s="65" t="inlineStr">
        <is>
          <t>BW-2500</t>
        </is>
      </c>
      <c r="AC372" s="73" t="n"/>
      <c r="AD372" s="69" t="n"/>
      <c r="AE372" s="69" t="n"/>
      <c r="AF372" s="73" t="n"/>
      <c r="AG372" s="69" t="n"/>
      <c r="AH372" s="85" t="n"/>
    </row>
    <row r="373">
      <c r="A373" s="82" t="n">
        <v>420</v>
      </c>
      <c r="B373" s="77" t="n">
        <v>82325879</v>
      </c>
      <c r="C373" s="65" t="n"/>
      <c r="D373" s="62" t="inlineStr">
        <is>
          <t>AMMONIA</t>
        </is>
      </c>
      <c r="E373" s="65" t="n"/>
      <c r="F373" s="65" t="inlineStr">
        <is>
          <t>CHECK VALVE</t>
        </is>
      </c>
      <c r="G373" s="65" t="n"/>
      <c r="H373" s="69" t="n"/>
      <c r="I373" s="69" t="n"/>
      <c r="J373" s="65" t="inlineStr">
        <is>
          <t>M237-24-CWM-16102-11201</t>
        </is>
      </c>
      <c r="K373" s="69" t="n"/>
      <c r="L373" s="69" t="n"/>
      <c r="M373" s="62" t="inlineStr">
        <is>
          <t>Valve Overhaul at Workshop</t>
        </is>
      </c>
      <c r="N373" s="69" t="inlineStr">
        <is>
          <t>LENOG_PCFSSB_RR_001</t>
        </is>
      </c>
      <c r="O373" s="69" t="inlineStr">
        <is>
          <t>LENOG_PCFSSB_CR_001</t>
        </is>
      </c>
      <c r="P373" s="69" t="inlineStr">
        <is>
          <t>LENOG_PCFSSB_FR_001</t>
        </is>
      </c>
      <c r="Q373" s="69" t="inlineStr">
        <is>
          <t>LENOG_PCFSSB_SR_001</t>
        </is>
      </c>
      <c r="R373" s="69" t="n"/>
      <c r="S373" s="69" t="n"/>
      <c r="T373" s="69" t="n"/>
      <c r="U373" s="69" t="n"/>
      <c r="V373" s="69" t="n"/>
      <c r="W373" s="65" t="n">
        <v>24</v>
      </c>
      <c r="X373" s="65" t="n">
        <v>24</v>
      </c>
      <c r="Y373" s="456" t="n"/>
      <c r="Z373" s="69" t="n"/>
      <c r="AA373" s="65" t="n">
        <v>150</v>
      </c>
      <c r="AB373" s="65" t="n">
        <v>150</v>
      </c>
      <c r="AC373" s="73" t="n"/>
      <c r="AD373" s="69" t="n"/>
      <c r="AE373" s="69" t="n"/>
      <c r="AF373" s="73" t="n"/>
      <c r="AG373" s="69" t="n"/>
      <c r="AH373" s="85" t="n"/>
    </row>
    <row r="374">
      <c r="A374" s="82" t="n">
        <v>421</v>
      </c>
      <c r="B374" s="77" t="n">
        <v>81620204</v>
      </c>
      <c r="C374" s="65" t="inlineStr">
        <is>
          <t>UTSMV014</t>
        </is>
      </c>
      <c r="D374" s="62" t="inlineStr">
        <is>
          <t>Utility</t>
        </is>
      </c>
      <c r="E374" s="65" t="inlineStr">
        <is>
          <t>Unit 53</t>
        </is>
      </c>
      <c r="F374" s="65" t="inlineStr">
        <is>
          <t>MOV</t>
        </is>
      </c>
      <c r="G374" s="65" t="inlineStr">
        <is>
          <t>ORION</t>
        </is>
      </c>
      <c r="H374" s="456" t="inlineStr">
        <is>
          <t>MOTOR OPERATED</t>
        </is>
      </c>
      <c r="I374" s="69" t="n"/>
      <c r="J374" s="131" t="inlineStr">
        <is>
          <t>M237-53MOV-554</t>
        </is>
      </c>
      <c r="K374" s="69" t="n"/>
      <c r="L374" s="69" t="n"/>
      <c r="M374" s="62" t="inlineStr">
        <is>
          <t>Gear Box Servicing &amp; Valve Packing Replacement</t>
        </is>
      </c>
      <c r="N374" s="69" t="n"/>
      <c r="O374" s="69" t="n"/>
      <c r="P374" s="69" t="n"/>
      <c r="Q374" s="69" t="n"/>
      <c r="R374" s="69" t="n"/>
      <c r="S374" s="69" t="n"/>
      <c r="T374" s="69" t="n"/>
      <c r="U374" s="69" t="n"/>
      <c r="V374" s="69" t="n"/>
      <c r="W374" s="65" t="n">
        <v>2</v>
      </c>
      <c r="X374" s="65" t="n">
        <v>2</v>
      </c>
      <c r="Y374" s="456" t="n"/>
      <c r="Z374" s="69" t="n"/>
      <c r="AA374" s="65" t="inlineStr">
        <is>
          <t>BW-1500</t>
        </is>
      </c>
      <c r="AB374" s="65" t="inlineStr">
        <is>
          <t>BW-1500</t>
        </is>
      </c>
      <c r="AC374" s="73" t="n"/>
      <c r="AD374" s="69" t="n"/>
      <c r="AE374" s="69" t="n"/>
      <c r="AF374" s="73" t="n"/>
      <c r="AG374" s="69" t="n"/>
      <c r="AH374" s="85" t="n"/>
    </row>
    <row r="375">
      <c r="A375" s="82" t="n">
        <v>422</v>
      </c>
      <c r="B375" s="77" t="n">
        <v>81620199</v>
      </c>
      <c r="C375" s="65" t="inlineStr">
        <is>
          <t>UTSMV010</t>
        </is>
      </c>
      <c r="D375" s="62" t="inlineStr">
        <is>
          <t>Utility</t>
        </is>
      </c>
      <c r="E375" s="65" t="inlineStr">
        <is>
          <t>Unit 53</t>
        </is>
      </c>
      <c r="F375" s="65" t="inlineStr">
        <is>
          <t>MOV</t>
        </is>
      </c>
      <c r="G375" s="65" t="inlineStr">
        <is>
          <t>ORION</t>
        </is>
      </c>
      <c r="H375" s="456" t="inlineStr">
        <is>
          <t>MOTOR OPERATED</t>
        </is>
      </c>
      <c r="I375" s="69" t="n"/>
      <c r="J375" s="131" t="inlineStr">
        <is>
          <t>M237-53MOV-454</t>
        </is>
      </c>
      <c r="K375" s="69" t="n"/>
      <c r="L375" s="69" t="n"/>
      <c r="M375" s="62" t="inlineStr">
        <is>
          <t>Gear Box Servicing &amp; Valve Packing Replacement</t>
        </is>
      </c>
      <c r="N375" s="69" t="n"/>
      <c r="O375" s="69" t="n"/>
      <c r="P375" s="69" t="n"/>
      <c r="Q375" s="69" t="n"/>
      <c r="R375" s="69" t="n"/>
      <c r="S375" s="69" t="n"/>
      <c r="T375" s="69" t="n"/>
      <c r="U375" s="69" t="n"/>
      <c r="V375" s="69" t="n"/>
      <c r="W375" s="65" t="n">
        <v>2</v>
      </c>
      <c r="X375" s="65" t="n">
        <v>2</v>
      </c>
      <c r="Y375" s="456" t="n"/>
      <c r="Z375" s="69" t="n"/>
      <c r="AA375" s="65" t="inlineStr">
        <is>
          <t>BW-1500</t>
        </is>
      </c>
      <c r="AB375" s="65" t="inlineStr">
        <is>
          <t>BW-1500</t>
        </is>
      </c>
      <c r="AC375" s="73" t="n"/>
      <c r="AD375" s="69" t="n"/>
      <c r="AE375" s="69" t="n"/>
      <c r="AF375" s="73" t="n"/>
      <c r="AG375" s="69" t="n"/>
      <c r="AH375" s="85" t="n"/>
    </row>
    <row r="376">
      <c r="A376" s="94" t="n">
        <v>423</v>
      </c>
      <c r="B376" s="95" t="n">
        <v>81187787</v>
      </c>
      <c r="C376" s="133" t="inlineStr">
        <is>
          <t>UTSMC019</t>
        </is>
      </c>
      <c r="D376" s="133" t="inlineStr">
        <is>
          <t>Utility</t>
        </is>
      </c>
      <c r="E376" s="133" t="inlineStr">
        <is>
          <t>Unit 53</t>
        </is>
      </c>
      <c r="F376" s="96" t="inlineStr">
        <is>
          <t>GATE VALVE</t>
        </is>
      </c>
      <c r="G376" s="96" t="inlineStr">
        <is>
          <t>ORION</t>
        </is>
      </c>
      <c r="H376" s="97" t="n"/>
      <c r="I376" s="97" t="n"/>
      <c r="J376" s="132" t="inlineStr">
        <is>
          <t>M237-10SH53007-252210ASME95HMB</t>
        </is>
      </c>
      <c r="K376" s="97" t="n"/>
      <c r="L376" s="97" t="n"/>
      <c r="M376" s="96" t="inlineStr">
        <is>
          <t>Valve Packing Replacement</t>
        </is>
      </c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6" t="n">
        <v>10</v>
      </c>
      <c r="X376" s="96" t="n">
        <v>10</v>
      </c>
      <c r="Y376" s="519" t="n"/>
      <c r="Z376" s="97" t="n"/>
      <c r="AA376" s="96" t="n">
        <v>2500</v>
      </c>
      <c r="AB376" s="96" t="n">
        <v>2500</v>
      </c>
      <c r="AC376" s="99" t="n"/>
      <c r="AD376" s="97" t="n"/>
      <c r="AE376" s="97" t="n"/>
      <c r="AF376" s="99" t="n"/>
      <c r="AG376" s="97" t="n"/>
      <c r="AH376" s="100" t="n"/>
    </row>
  </sheetData>
  <conditionalFormatting sqref="B99">
    <cfRule type="duplicateValues" priority="2" dxfId="0"/>
  </conditionalFormatting>
  <conditionalFormatting sqref="B103">
    <cfRule type="duplicateValues" priority="3" dxfId="0"/>
  </conditionalFormatting>
  <conditionalFormatting sqref="B105">
    <cfRule type="duplicateValues" priority="4" dxfId="0"/>
  </conditionalFormatting>
  <conditionalFormatting sqref="B316">
    <cfRule type="duplicateValues" priority="1" dxfId="0"/>
  </conditionalFormatting>
  <conditionalFormatting sqref="B2:B98 B100:B102 B104 B106:B315 B317:B376">
    <cfRule type="duplicateValues" priority="6" dxfId="0"/>
  </conditionalFormatting>
  <conditionalFormatting sqref="B333:B343 B345:B374">
    <cfRule type="duplicateValues" priority="7" dxfId="0"/>
    <cfRule type="duplicateValues" priority="8" dxfId="0"/>
  </conditionalFormatting>
  <conditionalFormatting sqref="B352:B372">
    <cfRule type="duplicateValues" priority="5" dxfId="0"/>
  </conditionalFormatting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64"/>
  <sheetViews>
    <sheetView view="pageBreakPreview" topLeftCell="A5" zoomScale="70" zoomScaleNormal="25" zoomScaleSheetLayoutView="70" zoomScalePageLayoutView="40" workbookViewId="0">
      <selection activeCell="U1" sqref="U1:U1048576"/>
    </sheetView>
  </sheetViews>
  <sheetFormatPr baseColWidth="8" defaultColWidth="11.25" defaultRowHeight="15.75"/>
  <cols>
    <col width="11.25" customWidth="1" min="6" max="7"/>
    <col width="10.875" customWidth="1" min="8" max="8"/>
    <col width="16.375" customWidth="1" min="14" max="14"/>
    <col width="12.5" customWidth="1" min="15" max="15"/>
    <col width="8" customWidth="1" min="17" max="17"/>
    <col width="19.75" customWidth="1" min="19" max="19"/>
  </cols>
  <sheetData>
    <row r="1" ht="26.25" customHeight="1">
      <c r="A1" s="211" t="n"/>
      <c r="B1" s="139" t="n"/>
      <c r="C1" s="139" t="n"/>
      <c r="D1" s="599" t="inlineStr">
        <is>
          <t>PROVISION FOR MECHANICAL VALVE IN SITU PACKING
REPLACEMENT, MECHANICAL VALVE OVERHAULING, AUTOMATIC
RECIRCULATORY VALVE (ARV) SERVICING, AND MOV’S GEARBOX
SERVICING FOR PCFS TA2025</t>
        </is>
      </c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40" t="n"/>
      <c r="T1" s="81" t="n">
        <v>1</v>
      </c>
    </row>
    <row r="2">
      <c r="A2" s="127" t="n"/>
      <c r="D2" s="127" t="n"/>
      <c r="S2" s="141" t="n"/>
      <c r="T2" s="61" t="inlineStr">
        <is>
          <t>Please Fill In</t>
        </is>
      </c>
    </row>
    <row r="3">
      <c r="A3" s="127" t="n"/>
      <c r="D3" s="127" t="n"/>
      <c r="S3" s="141" t="n"/>
    </row>
    <row r="4" ht="26.25" customHeight="1">
      <c r="A4" s="127" t="n"/>
      <c r="D4" s="127" t="n"/>
      <c r="S4" s="141" t="n"/>
      <c r="T4" s="80" t="n"/>
    </row>
    <row r="5" ht="26.25" customHeight="1">
      <c r="A5" s="127" t="n"/>
      <c r="D5" s="127" t="n"/>
      <c r="S5" s="141" t="n"/>
      <c r="T5" s="80" t="n"/>
    </row>
    <row r="6">
      <c r="A6" s="127" t="n"/>
      <c r="D6" s="127" t="n"/>
      <c r="S6" s="141" t="n"/>
    </row>
    <row r="7">
      <c r="A7" s="127" t="n"/>
      <c r="D7" s="127" t="n"/>
      <c r="S7" s="141" t="n"/>
    </row>
    <row r="8">
      <c r="A8" s="127" t="n"/>
      <c r="D8" s="127" t="n"/>
      <c r="S8" s="141" t="n"/>
    </row>
    <row r="9">
      <c r="A9" s="127" t="n"/>
      <c r="D9" s="127" t="n"/>
      <c r="S9" s="141" t="n"/>
    </row>
    <row r="10">
      <c r="A10" s="127" t="n"/>
      <c r="D10" s="127" t="n"/>
      <c r="S10" s="141" t="n"/>
    </row>
    <row r="11">
      <c r="A11" s="127" t="n"/>
      <c r="D11" s="127" t="n"/>
      <c r="S11" s="141" t="n"/>
    </row>
    <row r="12" ht="16.5" customHeight="1" thickBot="1">
      <c r="A12" s="142" t="n"/>
      <c r="B12" s="143" t="n"/>
      <c r="C12" s="143" t="n"/>
      <c r="D12" s="142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43" t="n"/>
      <c r="R12" s="143" t="n"/>
      <c r="S12" s="144" t="n"/>
    </row>
    <row r="13">
      <c r="A13" s="600" t="inlineStr">
        <is>
          <t>RECEIVED REPORT</t>
        </is>
      </c>
      <c r="B13" s="601" t="n"/>
      <c r="C13" s="601" t="n"/>
      <c r="D13" s="601" t="n"/>
      <c r="E13" s="601" t="n"/>
      <c r="F13" s="601" t="n"/>
      <c r="G13" s="601" t="n"/>
      <c r="H13" s="601" t="n"/>
      <c r="I13" s="601" t="n"/>
      <c r="J13" s="601" t="n"/>
      <c r="K13" s="601" t="n"/>
      <c r="L13" s="601" t="n"/>
      <c r="M13" s="601" t="n"/>
      <c r="N13" s="601" t="n"/>
      <c r="O13" s="601" t="n"/>
      <c r="P13" s="601" t="n"/>
      <c r="Q13" s="601" t="n"/>
      <c r="R13" s="601" t="n"/>
      <c r="S13" s="602" t="n"/>
    </row>
    <row r="14" ht="16.5" customHeight="1" thickBot="1">
      <c r="A14" s="603" t="n"/>
      <c r="B14" s="604" t="n"/>
      <c r="C14" s="604" t="n"/>
      <c r="D14" s="604" t="n"/>
      <c r="E14" s="604" t="n"/>
      <c r="F14" s="604" t="n"/>
      <c r="G14" s="604" t="n"/>
      <c r="H14" s="604" t="n"/>
      <c r="I14" s="604" t="n"/>
      <c r="J14" s="604" t="n"/>
      <c r="K14" s="604" t="n"/>
      <c r="L14" s="604" t="n"/>
      <c r="M14" s="604" t="n"/>
      <c r="N14" s="604" t="n"/>
      <c r="O14" s="604" t="n"/>
      <c r="P14" s="604" t="n"/>
      <c r="Q14" s="604" t="n"/>
      <c r="R14" s="604" t="n"/>
      <c r="S14" s="605" t="n"/>
    </row>
    <row r="15" ht="24" customHeight="1" thickBot="1">
      <c r="A15" s="606" t="inlineStr">
        <is>
          <t>CLIENT</t>
        </is>
      </c>
      <c r="B15" s="607" t="n"/>
      <c r="C15" s="608" t="n"/>
      <c r="D15" s="609" t="inlineStr">
        <is>
          <t>PETRONAS CHEMICALS FERTILISER SABAH SDN BHD</t>
        </is>
      </c>
      <c r="E15" s="607" t="n"/>
      <c r="F15" s="607" t="n"/>
      <c r="G15" s="607" t="n"/>
      <c r="H15" s="607" t="n"/>
      <c r="I15" s="607" t="n"/>
      <c r="J15" s="607" t="n"/>
      <c r="K15" s="607" t="n"/>
      <c r="L15" s="607" t="n"/>
      <c r="M15" s="607" t="n"/>
      <c r="N15" s="607" t="n"/>
      <c r="O15" s="607" t="n"/>
      <c r="P15" s="607" t="n"/>
      <c r="Q15" s="607" t="n"/>
      <c r="R15" s="607" t="n"/>
      <c r="S15" s="608" t="n"/>
    </row>
    <row r="16" ht="24" customHeight="1" thickBot="1">
      <c r="A16" s="606" t="inlineStr">
        <is>
          <t>PROJECT</t>
        </is>
      </c>
      <c r="B16" s="607" t="n"/>
      <c r="C16" s="608" t="n"/>
      <c r="D16" s="609" t="inlineStr">
        <is>
          <t>VALVE MAINTENANCE/REPAIR</t>
        </is>
      </c>
      <c r="E16" s="607" t="n"/>
      <c r="F16" s="607" t="n"/>
      <c r="G16" s="607" t="n"/>
      <c r="H16" s="608" t="n"/>
      <c r="I16" s="610" t="inlineStr">
        <is>
          <t>DOC NO</t>
        </is>
      </c>
      <c r="J16" s="607" t="n"/>
      <c r="K16" s="607" t="n"/>
      <c r="L16" s="608" t="n"/>
      <c r="M16" s="611">
        <f>VLOOKUP($T1,Summary!$A$2:$AH$376,13,0)</f>
        <v/>
      </c>
      <c r="N16" s="607" t="n"/>
      <c r="O16" s="607" t="n"/>
      <c r="P16" s="607" t="n"/>
      <c r="Q16" s="607" t="n"/>
      <c r="R16" s="607" t="n"/>
      <c r="S16" s="608" t="n"/>
    </row>
    <row r="17" ht="24" customHeight="1" thickBot="1">
      <c r="A17" s="606" t="inlineStr">
        <is>
          <t>LOCATION</t>
        </is>
      </c>
      <c r="B17" s="607" t="n"/>
      <c r="C17" s="608" t="n"/>
      <c r="D17" s="609" t="inlineStr">
        <is>
          <t>SIPITANG SABAH</t>
        </is>
      </c>
      <c r="E17" s="607" t="n"/>
      <c r="F17" s="607" t="n"/>
      <c r="G17" s="607" t="n"/>
      <c r="H17" s="608" t="n"/>
      <c r="I17" s="610" t="inlineStr">
        <is>
          <t>SIZE INLET</t>
        </is>
      </c>
      <c r="J17" s="607" t="n"/>
      <c r="K17" s="607" t="n"/>
      <c r="L17" s="608" t="n"/>
      <c r="M17" s="556">
        <f>VLOOKUP($T$1,Summary!$A$2:$AH$376,22,0)</f>
        <v/>
      </c>
      <c r="N17" s="557" t="inlineStr">
        <is>
          <t>RATING</t>
        </is>
      </c>
      <c r="O17" s="581">
        <f>VLOOKUP($T$1,Summary!$A$2:$AH$376,26,0)</f>
        <v/>
      </c>
      <c r="P17" s="612" t="inlineStr">
        <is>
          <t>INLET TYPE</t>
        </is>
      </c>
      <c r="Q17" s="613" t="n"/>
      <c r="R17" s="614">
        <f>VLOOKUP($T$1,Summary!$A$2:$AH$376,24,0)</f>
        <v/>
      </c>
      <c r="S17" s="613" t="n"/>
    </row>
    <row r="18" ht="24" customHeight="1" thickBot="1">
      <c r="A18" s="606" t="inlineStr">
        <is>
          <t>DATE IN</t>
        </is>
      </c>
      <c r="B18" s="607" t="n"/>
      <c r="C18" s="608" t="n"/>
      <c r="D18" s="615">
        <f>VLOOKUP($T$1,Summary!$A$2:$AH$376,11,0)</f>
        <v/>
      </c>
      <c r="E18" s="607" t="n"/>
      <c r="F18" s="607" t="n"/>
      <c r="G18" s="607" t="n"/>
      <c r="H18" s="608" t="n"/>
      <c r="I18" s="610" t="inlineStr">
        <is>
          <t>SIZE OUTLET</t>
        </is>
      </c>
      <c r="J18" s="607" t="n"/>
      <c r="K18" s="607" t="n"/>
      <c r="L18" s="608" t="n"/>
      <c r="M18" s="556">
        <f>VLOOKUP($T$1,Summary!$A$2:$AH$376,23,0)</f>
        <v/>
      </c>
      <c r="N18" s="557" t="inlineStr">
        <is>
          <t>RATING</t>
        </is>
      </c>
      <c r="O18" s="581">
        <f>VLOOKUP($T$1,Summary!$A$2:$AH$376,27,0)</f>
        <v/>
      </c>
      <c r="P18" s="612" t="inlineStr">
        <is>
          <t>OUTLET TYPE</t>
        </is>
      </c>
      <c r="Q18" s="613" t="n"/>
      <c r="R18" s="614">
        <f>VLOOKUP($T$1,Summary!$A$2:$AH$376,25,0)</f>
        <v/>
      </c>
      <c r="S18" s="613" t="n"/>
    </row>
    <row r="19" ht="24" customHeight="1" thickBot="1">
      <c r="A19" s="606" t="inlineStr">
        <is>
          <t>WO</t>
        </is>
      </c>
      <c r="B19" s="607" t="n"/>
      <c r="C19" s="608" t="n"/>
      <c r="D19" s="616">
        <f>VLOOKUP($T$1,Summary!$A$2:$AH$376,2,0)</f>
        <v/>
      </c>
      <c r="E19" s="607" t="n"/>
      <c r="F19" s="607" t="n"/>
      <c r="G19" s="607" t="n"/>
      <c r="H19" s="608" t="n"/>
      <c r="I19" s="610" t="inlineStr">
        <is>
          <t>MANUFACTURER</t>
        </is>
      </c>
      <c r="J19" s="607" t="n"/>
      <c r="K19" s="607" t="n"/>
      <c r="L19" s="608" t="n"/>
      <c r="M19" s="611">
        <f>VLOOKUP($T$1,Summary!$A$2:$AH$376,6,0)</f>
        <v/>
      </c>
      <c r="N19" s="607" t="n"/>
      <c r="O19" s="607" t="n"/>
      <c r="P19" s="607" t="n"/>
      <c r="Q19" s="607" t="n"/>
      <c r="R19" s="607" t="n"/>
      <c r="S19" s="608" t="n"/>
    </row>
    <row r="20" ht="24" customHeight="1" thickBot="1">
      <c r="A20" s="606" t="inlineStr">
        <is>
          <t>TAG NO</t>
        </is>
      </c>
      <c r="B20" s="607" t="n"/>
      <c r="C20" s="608" t="n"/>
      <c r="D20" s="615">
        <f>VLOOKUP($T$1,Summary!$A$2:$AH$376,9,0)</f>
        <v/>
      </c>
      <c r="E20" s="607" t="n"/>
      <c r="F20" s="607" t="n"/>
      <c r="G20" s="607" t="n"/>
      <c r="H20" s="608" t="n"/>
      <c r="I20" s="610" t="inlineStr">
        <is>
          <t>TYPE OF VALVE</t>
        </is>
      </c>
      <c r="J20" s="607" t="n"/>
      <c r="K20" s="607" t="n"/>
      <c r="L20" s="608" t="n"/>
      <c r="M20" s="611">
        <f>VLOOKUP($T$1,Summary!$A$2:$AH$376,5,0)</f>
        <v/>
      </c>
      <c r="N20" s="607" t="n"/>
      <c r="O20" s="607" t="n"/>
      <c r="P20" s="607" t="n"/>
      <c r="Q20" s="607" t="n"/>
      <c r="R20" s="607" t="n"/>
      <c r="S20" s="608" t="n"/>
    </row>
    <row r="21" ht="24" customHeight="1" thickBot="1">
      <c r="A21" s="606" t="n"/>
      <c r="B21" s="607" t="n"/>
      <c r="C21" s="608" t="n"/>
      <c r="D21" s="617" t="n"/>
      <c r="E21" s="607" t="n"/>
      <c r="F21" s="607" t="n"/>
      <c r="G21" s="607" t="n"/>
      <c r="H21" s="608" t="n"/>
      <c r="I21" s="618" t="inlineStr">
        <is>
          <t>VALVE OPERATED TYPE</t>
        </is>
      </c>
      <c r="J21" s="619" t="n"/>
      <c r="K21" s="619" t="n"/>
      <c r="L21" s="620" t="n"/>
      <c r="M21" s="611">
        <f>VLOOKUP($T$1,Summary!$A$2:$AH$376,7,0)</f>
        <v/>
      </c>
      <c r="N21" s="607" t="n"/>
      <c r="O21" s="607" t="n"/>
      <c r="P21" s="607" t="n"/>
      <c r="Q21" s="607" t="n"/>
      <c r="R21" s="607" t="n"/>
      <c r="S21" s="608" t="n"/>
    </row>
    <row r="22" ht="24" customHeight="1" thickBot="1">
      <c r="A22" s="222" t="inlineStr">
        <is>
          <t>INSITU TESTING</t>
        </is>
      </c>
      <c r="B22" s="621" t="n"/>
      <c r="C22" s="621" t="n"/>
      <c r="D22" s="15" t="n">
        <v>0</v>
      </c>
      <c r="E22" s="622" t="inlineStr">
        <is>
          <t>SERVICE &amp; REPAIR</t>
        </is>
      </c>
      <c r="F22" s="621" t="n"/>
      <c r="G22" s="621" t="n"/>
      <c r="H22" s="613" t="n"/>
      <c r="I22" s="15" t="n">
        <v>0</v>
      </c>
      <c r="J22" s="216" t="inlineStr">
        <is>
          <t>TESTING ONLY</t>
        </is>
      </c>
      <c r="K22" s="621" t="n"/>
      <c r="L22" s="621" t="n"/>
      <c r="M22" s="621" t="n"/>
      <c r="N22" s="15" t="n"/>
      <c r="O22" s="622" t="inlineStr">
        <is>
          <t xml:space="preserve">   REPLACE NEW VALVE</t>
        </is>
      </c>
      <c r="P22" s="621" t="n"/>
      <c r="Q22" s="621" t="n"/>
      <c r="R22" s="613" t="n"/>
      <c r="S22" s="16" t="n">
        <v>0</v>
      </c>
    </row>
    <row r="23" ht="24" customHeight="1" thickBot="1">
      <c r="A23" s="623" t="inlineStr">
        <is>
          <t>TRANSPORTATION DETAILS</t>
        </is>
      </c>
      <c r="B23" s="621" t="n"/>
      <c r="C23" s="621" t="n"/>
      <c r="D23" s="621" t="n"/>
      <c r="E23" s="621" t="n"/>
      <c r="F23" s="621" t="n"/>
      <c r="G23" s="621" t="n"/>
      <c r="H23" s="621" t="n"/>
      <c r="I23" s="621" t="n"/>
      <c r="J23" s="621" t="n"/>
      <c r="K23" s="621" t="n"/>
      <c r="L23" s="621" t="n"/>
      <c r="M23" s="621" t="n"/>
      <c r="N23" s="621" t="n"/>
      <c r="O23" s="621" t="n"/>
      <c r="P23" s="621" t="n"/>
      <c r="Q23" s="621" t="n"/>
      <c r="R23" s="621" t="n"/>
      <c r="S23" s="613" t="n"/>
    </row>
    <row r="24" ht="28.9" customHeight="1">
      <c r="A24" s="201" t="inlineStr">
        <is>
          <t>TRANSPORT MODE</t>
        </is>
      </c>
      <c r="B24" s="624" t="n"/>
      <c r="C24" s="625" t="n"/>
      <c r="D24" s="199">
        <f>VLOOKUP($T$1,Summary!$A$2:$AH$376,17,0)</f>
        <v/>
      </c>
      <c r="E24" s="624" t="n"/>
      <c r="F24" s="624" t="n"/>
      <c r="G24" s="624" t="n"/>
      <c r="H24" s="625" t="n"/>
      <c r="I24" s="201" t="inlineStr">
        <is>
          <t>PACKAGING</t>
        </is>
      </c>
      <c r="J24" s="624" t="n"/>
      <c r="K24" s="624" t="n"/>
      <c r="L24" s="625" t="n"/>
      <c r="M24" s="202">
        <f>VLOOKUP($T$1,Summary!$A$2:$AH$376,19,0)</f>
        <v/>
      </c>
      <c r="N24" s="624" t="n"/>
      <c r="O24" s="624" t="n"/>
      <c r="P24" s="624" t="n"/>
      <c r="Q24" s="624" t="n"/>
      <c r="R24" s="624" t="n"/>
      <c r="S24" s="625" t="n"/>
    </row>
    <row r="25" ht="23.25" customHeight="1">
      <c r="A25" s="206" t="inlineStr">
        <is>
          <t>TRANSPORT BY</t>
        </is>
      </c>
      <c r="B25" s="626" t="n"/>
      <c r="C25" s="627" t="n"/>
      <c r="D25" s="207">
        <f>VLOOKUP($T$1,Summary!$A$2:$AH$376,18,0)</f>
        <v/>
      </c>
      <c r="E25" s="626" t="n"/>
      <c r="F25" s="626" t="n"/>
      <c r="G25" s="626" t="n"/>
      <c r="H25" s="627" t="n"/>
      <c r="I25" s="206" t="inlineStr">
        <is>
          <t>RECEIVED BY</t>
        </is>
      </c>
      <c r="J25" s="626" t="n"/>
      <c r="K25" s="626" t="n"/>
      <c r="L25" s="627" t="n"/>
      <c r="M25" s="173">
        <f>VLOOKUP($T$1,Summary!$A$2:$AH$376,20,0)</f>
        <v/>
      </c>
      <c r="N25" s="626" t="n"/>
      <c r="O25" s="626" t="n"/>
      <c r="P25" s="626" t="n"/>
      <c r="Q25" s="626" t="n"/>
      <c r="R25" s="626" t="n"/>
      <c r="S25" s="627" t="n"/>
    </row>
    <row r="26" ht="24" customHeight="1" thickBot="1">
      <c r="A26" s="175" t="inlineStr">
        <is>
          <t>COMMENT ON TRANSPORTATION IF ANY</t>
        </is>
      </c>
      <c r="B26" s="143" t="n"/>
      <c r="C26" s="143" t="n"/>
      <c r="D26" s="143" t="n"/>
      <c r="E26" s="143" t="n"/>
      <c r="F26" s="628" t="n"/>
      <c r="G26" s="177">
        <f>VLOOKUP($T$1,Summary!$A$2:$AH$376,21,0)</f>
        <v/>
      </c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3" t="n"/>
      <c r="R26" s="143" t="n"/>
      <c r="S26" s="628" t="n"/>
    </row>
    <row r="27" ht="23.25" customHeight="1">
      <c r="A27" s="204" t="inlineStr">
        <is>
          <t>AS RECEIVED VALVE:</t>
        </is>
      </c>
      <c r="B27" s="139" t="n"/>
      <c r="C27" s="139" t="n"/>
      <c r="D27" s="139" t="n"/>
      <c r="E27" s="139" t="n"/>
      <c r="F27" s="139" t="n"/>
      <c r="G27" s="139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2" t="n"/>
    </row>
    <row r="28" ht="23.25" customHeight="1">
      <c r="A28" s="545" t="n"/>
      <c r="G28" s="546" t="n"/>
      <c r="N28" s="547" t="n"/>
      <c r="S28" s="141" t="n"/>
    </row>
    <row r="29" ht="23.25" customHeight="1">
      <c r="A29" s="127" t="n"/>
      <c r="S29" s="141" t="n"/>
    </row>
    <row r="30" ht="23.25" customHeight="1">
      <c r="A30" s="127" t="n"/>
      <c r="S30" s="141" t="n"/>
    </row>
    <row r="31" ht="23.25" customHeight="1">
      <c r="A31" s="127" t="n"/>
      <c r="S31" s="141" t="n"/>
    </row>
    <row r="32" ht="23.25" customHeight="1">
      <c r="A32" s="127" t="n"/>
      <c r="S32" s="141" t="n"/>
    </row>
    <row r="33" ht="23.25" customHeight="1">
      <c r="A33" s="127" t="n"/>
      <c r="S33" s="141" t="n"/>
    </row>
    <row r="34" ht="23.25" customHeight="1">
      <c r="A34" s="127" t="n"/>
      <c r="S34" s="141" t="n"/>
    </row>
    <row r="35" ht="23.25" customHeight="1">
      <c r="A35" s="127" t="n"/>
      <c r="S35" s="141" t="n"/>
    </row>
    <row r="36" ht="23.25" customHeight="1">
      <c r="A36" s="127" t="n"/>
      <c r="S36" s="141" t="n"/>
    </row>
    <row r="37" ht="23.25" customHeight="1">
      <c r="A37" s="127" t="n"/>
      <c r="S37" s="141" t="n"/>
    </row>
    <row r="38" ht="23.25" customHeight="1">
      <c r="A38" s="127" t="n"/>
      <c r="S38" s="141" t="n"/>
    </row>
    <row r="39" ht="23.25" customHeight="1">
      <c r="A39" s="127" t="n"/>
      <c r="S39" s="141" t="n"/>
    </row>
    <row r="40" ht="23.25" customHeight="1">
      <c r="A40" s="127" t="n"/>
      <c r="S40" s="141" t="n"/>
    </row>
    <row r="41" ht="24" customHeight="1" thickBot="1">
      <c r="A41" s="142" t="n"/>
      <c r="B41" s="143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43" t="n"/>
      <c r="R41" s="143" t="n"/>
      <c r="S41" s="144" t="n"/>
    </row>
    <row r="42" ht="24" customHeight="1" thickBot="1">
      <c r="A42" s="623" t="inlineStr">
        <is>
          <t>AS RECEIVED VALVE CONDITION</t>
        </is>
      </c>
      <c r="B42" s="621" t="n"/>
      <c r="C42" s="621" t="n"/>
      <c r="D42" s="621" t="n"/>
      <c r="E42" s="621" t="n"/>
      <c r="F42" s="621" t="n"/>
      <c r="G42" s="621" t="n"/>
      <c r="H42" s="621" t="n"/>
      <c r="I42" s="621" t="n"/>
      <c r="J42" s="621" t="n"/>
      <c r="K42" s="621" t="n"/>
      <c r="L42" s="621" t="n"/>
      <c r="M42" s="621" t="n"/>
      <c r="N42" s="621" t="n"/>
      <c r="O42" s="621" t="n"/>
      <c r="P42" s="621" t="n"/>
      <c r="Q42" s="621" t="n"/>
      <c r="R42" s="621" t="n"/>
      <c r="S42" s="613" t="n"/>
    </row>
    <row r="43" ht="24" customHeight="1" thickBot="1">
      <c r="A43" s="579" t="inlineStr">
        <is>
          <t>INLET CONNECTION TYPE</t>
        </is>
      </c>
      <c r="B43" s="604" t="n"/>
      <c r="C43" s="604" t="n"/>
      <c r="D43" s="604" t="n"/>
      <c r="E43" s="604" t="n"/>
      <c r="F43" s="629">
        <f>VLOOKUP($T$1,Summary!$A$2:$AH$376,24,0)</f>
        <v/>
      </c>
      <c r="G43" s="630" t="n"/>
      <c r="H43" s="630" t="n"/>
      <c r="I43" s="630" t="n"/>
      <c r="J43" s="631" t="n"/>
      <c r="K43" s="632" t="inlineStr">
        <is>
          <t>OUTLET CONNECTION TYPE</t>
        </is>
      </c>
      <c r="L43" s="604" t="n"/>
      <c r="M43" s="604" t="n"/>
      <c r="N43" s="604" t="n"/>
      <c r="O43" s="633" t="n"/>
      <c r="P43" s="634">
        <f>VLOOKUP($T$1,Summary!$A$2:$AH$376,25,0)</f>
        <v/>
      </c>
      <c r="Q43" s="630" t="n"/>
      <c r="R43" s="630" t="n"/>
      <c r="S43" s="635" t="n"/>
    </row>
    <row r="44" ht="24" customHeight="1" thickBot="1">
      <c r="A44" s="567" t="inlineStr">
        <is>
          <t>NAMEPLATE</t>
        </is>
      </c>
      <c r="B44" s="607" t="n"/>
      <c r="C44" s="607" t="n"/>
      <c r="D44" s="607" t="n"/>
      <c r="E44" s="607" t="n"/>
      <c r="F44" s="629">
        <f>VLOOKUP($T$1,Summary!$A$2:$AH$376,10,0)</f>
        <v/>
      </c>
      <c r="G44" s="630" t="n"/>
      <c r="H44" s="630" t="n"/>
      <c r="I44" s="630" t="n"/>
      <c r="J44" s="631" t="n"/>
      <c r="K44" s="636" t="inlineStr">
        <is>
          <t>TAG NUMBER/PLATE</t>
        </is>
      </c>
      <c r="L44" s="607" t="n"/>
      <c r="M44" s="607" t="n"/>
      <c r="N44" s="607" t="n"/>
      <c r="O44" s="637" t="n"/>
      <c r="P44" s="634">
        <f>VLOOKUP($T$1,Summary!$A$2:$AH$376,9,0)</f>
        <v/>
      </c>
      <c r="Q44" s="630" t="n"/>
      <c r="R44" s="630" t="n"/>
      <c r="S44" s="635" t="n"/>
    </row>
    <row r="45" ht="24" customHeight="1" thickBot="1">
      <c r="A45" s="567" t="inlineStr">
        <is>
          <t>INLET CONNECTION CONDITION</t>
        </is>
      </c>
      <c r="B45" s="607" t="n"/>
      <c r="C45" s="607" t="n"/>
      <c r="D45" s="607" t="n"/>
      <c r="E45" s="607" t="n"/>
      <c r="F45" s="629">
        <f>VLOOKUP($T$1,Summary!$A$2:$AH$376,28,0)</f>
        <v/>
      </c>
      <c r="G45" s="630" t="n"/>
      <c r="H45" s="630" t="n"/>
      <c r="I45" s="630" t="n"/>
      <c r="J45" s="631" t="n"/>
      <c r="K45" s="636" t="inlineStr">
        <is>
          <t>OUTLET CONNECTION CONDITION</t>
        </is>
      </c>
      <c r="L45" s="607" t="n"/>
      <c r="M45" s="607" t="n"/>
      <c r="N45" s="607" t="n"/>
      <c r="O45" s="637" t="n"/>
      <c r="P45" s="634">
        <f>VLOOKUP($T$1,Summary!$A$2:$AH$376,29,0)</f>
        <v/>
      </c>
      <c r="Q45" s="630" t="n"/>
      <c r="R45" s="630" t="n"/>
      <c r="S45" s="635" t="n"/>
    </row>
    <row r="46" ht="24" customHeight="1" thickBot="1">
      <c r="A46" s="589" t="inlineStr">
        <is>
          <t>CONNECTION MAJOR DEFECT/DAMAGE</t>
        </is>
      </c>
      <c r="B46" s="601" t="n"/>
      <c r="C46" s="601" t="n"/>
      <c r="D46" s="601" t="n"/>
      <c r="E46" s="601" t="n"/>
      <c r="F46" s="629">
        <f>VLOOKUP($T$1,Summary!$A$2:$AH$376,30,0)</f>
        <v/>
      </c>
      <c r="G46" s="630" t="n"/>
      <c r="H46" s="630" t="n"/>
      <c r="I46" s="630" t="n"/>
      <c r="J46" s="631" t="n"/>
      <c r="K46" s="638" t="n"/>
      <c r="L46" s="601" t="n"/>
      <c r="M46" s="601" t="n"/>
      <c r="N46" s="601" t="n"/>
      <c r="O46" s="639" t="n"/>
      <c r="P46" s="593" t="n"/>
      <c r="Q46" s="594" t="n"/>
      <c r="R46" s="594" t="n"/>
      <c r="S46" s="595" t="n"/>
    </row>
    <row r="47" ht="24" customHeight="1" thickBot="1">
      <c r="A47" s="589" t="inlineStr">
        <is>
          <t>VALVE BODY CONDITION</t>
        </is>
      </c>
      <c r="B47" s="601" t="n"/>
      <c r="C47" s="601" t="n"/>
      <c r="D47" s="601" t="n"/>
      <c r="E47" s="601" t="n"/>
      <c r="F47" s="629">
        <f>VLOOKUP($T$1,Summary!$A$2:$AH$376,31,0)</f>
        <v/>
      </c>
      <c r="G47" s="630" t="n"/>
      <c r="H47" s="630" t="n"/>
      <c r="I47" s="630" t="n"/>
      <c r="J47" s="631" t="n"/>
      <c r="K47" s="638" t="inlineStr">
        <is>
          <t>MAJOR DEFECT ON BODY</t>
        </is>
      </c>
      <c r="L47" s="601" t="n"/>
      <c r="M47" s="601" t="n"/>
      <c r="N47" s="601" t="n"/>
      <c r="O47" s="639" t="n"/>
      <c r="P47" s="640">
        <f>VLOOKUP($T$1,Summary!$A$2:$AH$376,32,0)</f>
        <v/>
      </c>
      <c r="Q47" s="619" t="n"/>
      <c r="R47" s="619" t="n"/>
      <c r="S47" s="620" t="n"/>
    </row>
    <row r="48" ht="24" customHeight="1" thickBot="1">
      <c r="A48" s="641" t="inlineStr">
        <is>
          <t>OVERALL VALVE CONDITION</t>
        </is>
      </c>
      <c r="B48" s="621" t="n"/>
      <c r="C48" s="621" t="n"/>
      <c r="D48" s="621" t="n"/>
      <c r="E48" s="621" t="n"/>
      <c r="F48" s="621" t="n"/>
      <c r="G48" s="621" t="n"/>
      <c r="H48" s="621" t="n"/>
      <c r="I48" s="621" t="n"/>
      <c r="J48" s="621" t="n"/>
      <c r="K48" s="621" t="n"/>
      <c r="L48" s="621" t="n"/>
      <c r="M48" s="621" t="n"/>
      <c r="N48" s="621" t="n"/>
      <c r="O48" s="621" t="n"/>
      <c r="P48" s="621" t="n"/>
      <c r="Q48" s="621" t="n"/>
      <c r="R48" s="621" t="n"/>
      <c r="S48" s="613" t="n"/>
    </row>
    <row r="49" ht="24" customHeight="1">
      <c r="A49" s="642">
        <f>VLOOKUP($T$1,Summary!$A$2:$AH$376,33,0)</f>
        <v/>
      </c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643" t="n"/>
    </row>
    <row r="50">
      <c r="A50" s="644" t="n"/>
      <c r="S50" s="645" t="n"/>
    </row>
    <row r="51">
      <c r="A51" s="644" t="n"/>
      <c r="S51" s="645" t="n"/>
    </row>
    <row r="52" ht="9" customHeight="1" thickBot="1">
      <c r="A52" s="603" t="n"/>
      <c r="B52" s="604" t="n"/>
      <c r="C52" s="604" t="n"/>
      <c r="D52" s="604" t="n"/>
      <c r="E52" s="604" t="n"/>
      <c r="F52" s="604" t="n"/>
      <c r="G52" s="604" t="n"/>
      <c r="H52" s="604" t="n"/>
      <c r="I52" s="604" t="n"/>
      <c r="J52" s="604" t="n"/>
      <c r="K52" s="604" t="n"/>
      <c r="L52" s="604" t="n"/>
      <c r="M52" s="604" t="n"/>
      <c r="N52" s="604" t="n"/>
      <c r="O52" s="604" t="n"/>
      <c r="P52" s="604" t="n"/>
      <c r="Q52" s="604" t="n"/>
      <c r="R52" s="604" t="n"/>
      <c r="S52" s="605" t="n"/>
    </row>
    <row r="53" ht="25.9" customHeight="1" thickBot="1">
      <c r="A53" s="623" t="inlineStr">
        <is>
          <t>DETAILS PICTURE</t>
        </is>
      </c>
      <c r="B53" s="621" t="n"/>
      <c r="C53" s="621" t="n"/>
      <c r="D53" s="621" t="n"/>
      <c r="E53" s="621" t="n"/>
      <c r="F53" s="621" t="n"/>
      <c r="G53" s="621" t="n"/>
      <c r="H53" s="621" t="n"/>
      <c r="I53" s="621" t="n"/>
      <c r="J53" s="621" t="n"/>
      <c r="K53" s="621" t="n"/>
      <c r="L53" s="621" t="n"/>
      <c r="M53" s="621" t="n"/>
      <c r="N53" s="621" t="n"/>
      <c r="O53" s="621" t="n"/>
      <c r="P53" s="621" t="n"/>
      <c r="Q53" s="621" t="n"/>
      <c r="R53" s="621" t="n"/>
      <c r="S53" s="613" t="n"/>
    </row>
    <row r="54" ht="319.15" customHeight="1" thickBot="1">
      <c r="A54" s="171" t="inlineStr">
        <is>
          <t xml:space="preserve">INLET CONNECTION </t>
        </is>
      </c>
      <c r="B54" s="607" t="n"/>
      <c r="C54" s="607" t="n"/>
      <c r="D54" s="607" t="n"/>
      <c r="E54" s="607" t="n"/>
      <c r="F54" s="646" t="n"/>
      <c r="G54" s="630" t="n"/>
      <c r="H54" s="630" t="n"/>
      <c r="I54" s="630" t="n"/>
      <c r="J54" s="631" t="n"/>
      <c r="K54" s="647" t="inlineStr">
        <is>
          <t>OUTLET CONNECTION</t>
        </is>
      </c>
      <c r="L54" s="630" t="n"/>
      <c r="M54" s="630" t="n"/>
      <c r="N54" s="630" t="n"/>
      <c r="O54" s="631" t="n"/>
      <c r="P54" s="648" t="n"/>
      <c r="Q54" s="607" t="n"/>
      <c r="R54" s="607" t="n"/>
      <c r="S54" s="608" t="n"/>
    </row>
    <row r="55" ht="299.45" customHeight="1" thickBot="1">
      <c r="A55" s="229" t="inlineStr">
        <is>
          <t>DEFECT CONNECTION  (IF ANY)</t>
        </is>
      </c>
      <c r="B55" s="601" t="n"/>
      <c r="C55" s="601" t="n"/>
      <c r="D55" s="601" t="n"/>
      <c r="E55" s="601" t="n"/>
      <c r="F55" s="649" t="n"/>
      <c r="G55" s="601" t="n"/>
      <c r="H55" s="601" t="n"/>
      <c r="I55" s="601" t="n"/>
      <c r="J55" s="639" t="n"/>
      <c r="K55" s="650" t="inlineStr">
        <is>
          <t>DEFECT ON BODY (IF ANY)</t>
        </is>
      </c>
      <c r="L55" s="601" t="n"/>
      <c r="M55" s="601" t="n"/>
      <c r="N55" s="601" t="n"/>
      <c r="O55" s="639" t="n"/>
      <c r="P55" s="651">
        <f>Summary!AO5</f>
        <v/>
      </c>
      <c r="Q55" s="601" t="n"/>
      <c r="R55" s="601" t="n"/>
      <c r="S55" s="602" t="n"/>
    </row>
    <row r="56" ht="16.15" customHeight="1">
      <c r="A56" s="652" t="inlineStr">
        <is>
          <t>PREPARED BY</t>
        </is>
      </c>
      <c r="B56" s="139" t="n"/>
      <c r="C56" s="139" t="n"/>
      <c r="D56" s="139" t="n"/>
      <c r="E56" s="139" t="n"/>
      <c r="F56" s="140" t="n"/>
      <c r="G56" s="652" t="inlineStr">
        <is>
          <t>CLIENT REPRESENTATIVE</t>
        </is>
      </c>
      <c r="H56" s="139" t="n"/>
      <c r="I56" s="139" t="n"/>
      <c r="J56" s="139" t="n"/>
      <c r="K56" s="139" t="n"/>
      <c r="L56" s="140" t="n"/>
      <c r="M56" s="652" t="inlineStr">
        <is>
          <t>APPROVED BY</t>
        </is>
      </c>
      <c r="N56" s="139" t="n"/>
      <c r="O56" s="139" t="n"/>
      <c r="P56" s="139" t="n"/>
      <c r="Q56" s="139" t="n"/>
      <c r="R56" s="139" t="n"/>
      <c r="S56" s="140" t="n"/>
    </row>
    <row r="57" ht="16.9" customHeight="1" thickBot="1">
      <c r="A57" s="142" t="n"/>
      <c r="B57" s="143" t="n"/>
      <c r="C57" s="143" t="n"/>
      <c r="D57" s="143" t="n"/>
      <c r="E57" s="143" t="n"/>
      <c r="F57" s="144" t="n"/>
      <c r="G57" s="142" t="n"/>
      <c r="H57" s="143" t="n"/>
      <c r="I57" s="143" t="n"/>
      <c r="J57" s="143" t="n"/>
      <c r="K57" s="143" t="n"/>
      <c r="L57" s="144" t="n"/>
      <c r="M57" s="142" t="n"/>
      <c r="N57" s="143" t="n"/>
      <c r="O57" s="143" t="n"/>
      <c r="P57" s="143" t="n"/>
      <c r="Q57" s="143" t="n"/>
      <c r="R57" s="143" t="n"/>
      <c r="S57" s="144" t="n"/>
    </row>
    <row r="58" ht="16.15" customHeight="1">
      <c r="A58" s="6" t="n"/>
      <c r="B58" s="7" t="n"/>
      <c r="C58" s="7" t="n"/>
      <c r="D58" s="7" t="n"/>
      <c r="E58" s="7" t="n"/>
      <c r="F58" s="7" t="n"/>
      <c r="G58" s="13" t="inlineStr">
        <is>
          <t> </t>
        </is>
      </c>
      <c r="H58" s="431" t="n"/>
      <c r="I58" s="431" t="n"/>
      <c r="J58" s="431" t="n"/>
      <c r="K58" s="431" t="n"/>
      <c r="L58" s="3" t="inlineStr">
        <is>
          <t> </t>
        </is>
      </c>
      <c r="M58" s="11" t="n"/>
      <c r="N58" s="11" t="n"/>
      <c r="O58" s="11" t="n"/>
      <c r="P58" s="11" t="n"/>
      <c r="Q58" s="11" t="n"/>
      <c r="R58" s="11" t="n"/>
      <c r="S58" s="12" t="n"/>
    </row>
    <row r="59" ht="16.15" customHeight="1">
      <c r="A59" s="8" t="n"/>
      <c r="B59" s="160" t="n"/>
      <c r="C59" s="160" t="n"/>
      <c r="D59" s="160" t="n"/>
      <c r="E59" s="160" t="n"/>
      <c r="F59" s="160" t="n"/>
      <c r="G59" s="13" t="n"/>
      <c r="H59" s="431" t="n"/>
      <c r="I59" s="431" t="n"/>
      <c r="J59" s="431" t="n"/>
      <c r="K59" s="431" t="n"/>
      <c r="L59" s="3" t="n"/>
      <c r="M59" s="431" t="n"/>
      <c r="N59" s="431" t="n"/>
      <c r="O59" s="431" t="n"/>
      <c r="P59" s="431" t="n"/>
      <c r="Q59" s="431" t="n"/>
      <c r="R59" s="431" t="n"/>
      <c r="S59" s="3" t="n"/>
    </row>
    <row r="60" ht="16.15" customHeight="1">
      <c r="A60" s="8" t="n"/>
      <c r="B60" s="160" t="n"/>
      <c r="C60" s="160" t="n"/>
      <c r="D60" s="160" t="n"/>
      <c r="E60" s="160" t="n"/>
      <c r="F60" s="160" t="n"/>
      <c r="G60" s="13" t="n"/>
      <c r="H60" s="431" t="n"/>
      <c r="I60" s="431" t="n"/>
      <c r="J60" s="431" t="n"/>
      <c r="K60" s="431" t="n"/>
      <c r="L60" s="3" t="n"/>
      <c r="M60" s="431" t="n"/>
      <c r="N60" s="431" t="n"/>
      <c r="O60" s="431" t="n"/>
      <c r="P60" s="431" t="n"/>
      <c r="Q60" s="431" t="n"/>
      <c r="R60" s="431" t="n"/>
      <c r="S60" s="3" t="n"/>
    </row>
    <row r="61" ht="22.15" customHeight="1">
      <c r="A61" s="127" t="n"/>
      <c r="B61" s="160" t="n"/>
      <c r="C61" s="160" t="n"/>
      <c r="D61" s="160" t="n"/>
      <c r="E61" s="160" t="n"/>
      <c r="F61" s="160" t="n"/>
      <c r="G61" s="13" t="n"/>
      <c r="H61" s="431" t="n"/>
      <c r="I61" s="431" t="n"/>
      <c r="J61" s="431" t="n"/>
      <c r="K61" s="431" t="n"/>
      <c r="L61" s="3" t="n"/>
      <c r="M61" s="431" t="n"/>
      <c r="N61" s="431" t="n"/>
      <c r="O61" s="431" t="n"/>
      <c r="P61" s="431" t="n"/>
      <c r="Q61" s="431" t="n"/>
      <c r="R61" s="431" t="n"/>
      <c r="S61" s="3" t="n"/>
    </row>
    <row r="62" ht="25.15" customHeight="1">
      <c r="A62" s="8" t="inlineStr">
        <is>
          <t>NAME:</t>
        </is>
      </c>
      <c r="B62" s="161" t="n"/>
      <c r="F62" s="141" t="n"/>
      <c r="G62" s="8" t="inlineStr">
        <is>
          <t>NAME:</t>
        </is>
      </c>
      <c r="H62" s="431" t="n"/>
      <c r="I62" s="431" t="n"/>
      <c r="J62" s="431" t="n"/>
      <c r="K62" s="431" t="n"/>
      <c r="L62" s="3" t="n"/>
      <c r="M62" s="8" t="inlineStr">
        <is>
          <t>NAME:</t>
        </is>
      </c>
      <c r="N62" s="431" t="n"/>
      <c r="O62" s="431" t="n"/>
      <c r="P62" s="431" t="n"/>
      <c r="Q62" s="431" t="n"/>
      <c r="R62" s="431" t="n"/>
      <c r="S62" s="3" t="n"/>
    </row>
    <row r="63" ht="21" customHeight="1">
      <c r="A63" s="8" t="inlineStr">
        <is>
          <t>DATE:</t>
        </is>
      </c>
      <c r="B63" s="653">
        <f>TODAY()</f>
        <v/>
      </c>
      <c r="C63" s="21" t="n"/>
      <c r="D63" s="21" t="n"/>
      <c r="E63" s="21" t="n"/>
      <c r="F63" s="654" t="n"/>
      <c r="G63" s="8" t="inlineStr">
        <is>
          <t>DATE:</t>
        </is>
      </c>
      <c r="H63" s="431" t="n"/>
      <c r="I63" s="431" t="n"/>
      <c r="J63" s="431" t="n"/>
      <c r="K63" s="431" t="n"/>
      <c r="L63" s="3" t="n"/>
      <c r="M63" s="8" t="inlineStr">
        <is>
          <t>DATE:</t>
        </is>
      </c>
      <c r="N63" s="431" t="n"/>
      <c r="O63" s="431" t="n"/>
      <c r="P63" s="431" t="n"/>
      <c r="Q63" s="431" t="n"/>
      <c r="R63" s="431" t="n"/>
      <c r="S63" s="3" t="n"/>
    </row>
    <row r="64" ht="16.9" customHeight="1" thickBot="1">
      <c r="A64" s="9" t="n"/>
      <c r="B64" s="10" t="n"/>
      <c r="C64" s="10" t="n"/>
      <c r="D64" s="10" t="n"/>
      <c r="E64" s="10" t="n"/>
      <c r="F64" s="10" t="n"/>
      <c r="G64" s="14" t="n"/>
      <c r="H64" s="434" t="n"/>
      <c r="I64" s="434" t="n"/>
      <c r="J64" s="434" t="n"/>
      <c r="K64" s="434" t="n"/>
      <c r="L64" s="5" t="n"/>
      <c r="M64" s="434" t="n"/>
      <c r="N64" s="434" t="n"/>
      <c r="O64" s="434" t="n"/>
      <c r="P64" s="434" t="n"/>
      <c r="Q64" s="434" t="n"/>
      <c r="R64" s="434" t="n"/>
      <c r="S64" s="5" t="n"/>
    </row>
  </sheetData>
  <mergeCells count="86">
    <mergeCell ref="A23:S23"/>
    <mergeCell ref="F54:J54"/>
    <mergeCell ref="D19:H19"/>
    <mergeCell ref="A45:E45"/>
    <mergeCell ref="A21:C21"/>
    <mergeCell ref="K54:O54"/>
    <mergeCell ref="K55:O55"/>
    <mergeCell ref="M19:S19"/>
    <mergeCell ref="A46:E46"/>
    <mergeCell ref="F45:J45"/>
    <mergeCell ref="P44:S44"/>
    <mergeCell ref="F47:J47"/>
    <mergeCell ref="K43:O43"/>
    <mergeCell ref="I16:L16"/>
    <mergeCell ref="F46:J46"/>
    <mergeCell ref="I25:L25"/>
    <mergeCell ref="A56:F57"/>
    <mergeCell ref="A43:E43"/>
    <mergeCell ref="I18:L18"/>
    <mergeCell ref="M21:S21"/>
    <mergeCell ref="R18:S18"/>
    <mergeCell ref="P47:S47"/>
    <mergeCell ref="I20:L20"/>
    <mergeCell ref="P43:S43"/>
    <mergeCell ref="M24:S24"/>
    <mergeCell ref="K45:O45"/>
    <mergeCell ref="D15:S15"/>
    <mergeCell ref="E22:H22"/>
    <mergeCell ref="K47:O47"/>
    <mergeCell ref="K44:O44"/>
    <mergeCell ref="K46:O46"/>
    <mergeCell ref="D17:H17"/>
    <mergeCell ref="A55:E55"/>
    <mergeCell ref="A15:C15"/>
    <mergeCell ref="A24:C24"/>
    <mergeCell ref="A28:F41"/>
    <mergeCell ref="D25:H25"/>
    <mergeCell ref="M56:S57"/>
    <mergeCell ref="I24:L24"/>
    <mergeCell ref="A16:C16"/>
    <mergeCell ref="A42:S42"/>
    <mergeCell ref="A25:C25"/>
    <mergeCell ref="J22:M22"/>
    <mergeCell ref="I17:L17"/>
    <mergeCell ref="B62:F62"/>
    <mergeCell ref="A49:S52"/>
    <mergeCell ref="A18:C18"/>
    <mergeCell ref="G56:L57"/>
    <mergeCell ref="A26:F26"/>
    <mergeCell ref="I19:L19"/>
    <mergeCell ref="D21:H21"/>
    <mergeCell ref="F55:J55"/>
    <mergeCell ref="P55:S55"/>
    <mergeCell ref="D1:S12"/>
    <mergeCell ref="A22:C22"/>
    <mergeCell ref="A20:C20"/>
    <mergeCell ref="P17:Q17"/>
    <mergeCell ref="D16:H16"/>
    <mergeCell ref="A47:E47"/>
    <mergeCell ref="A13:S14"/>
    <mergeCell ref="M20:S20"/>
    <mergeCell ref="R17:S17"/>
    <mergeCell ref="D18:H18"/>
    <mergeCell ref="O22:R22"/>
    <mergeCell ref="I21:L21"/>
    <mergeCell ref="B63:F63"/>
    <mergeCell ref="A44:E44"/>
    <mergeCell ref="G28:M41"/>
    <mergeCell ref="F44:J44"/>
    <mergeCell ref="D20:H20"/>
    <mergeCell ref="G26:S26"/>
    <mergeCell ref="A53:S53"/>
    <mergeCell ref="P45:S45"/>
    <mergeCell ref="A54:E54"/>
    <mergeCell ref="P54:S54"/>
    <mergeCell ref="A17:C17"/>
    <mergeCell ref="A48:S48"/>
    <mergeCell ref="A19:C19"/>
    <mergeCell ref="N28:S41"/>
    <mergeCell ref="P18:Q18"/>
    <mergeCell ref="F43:J43"/>
    <mergeCell ref="A27:G27"/>
    <mergeCell ref="A1:C12"/>
    <mergeCell ref="D24:H24"/>
    <mergeCell ref="M16:S16"/>
    <mergeCell ref="M25:S25"/>
  </mergeCells>
  <dataValidations disablePrompts="1" count="2">
    <dataValidation sqref="I22 N22 S22" showDropDown="0" showInputMessage="1" showErrorMessage="1" allowBlank="1" type="list">
      <formula1>"X,0"</formula1>
    </dataValidation>
    <dataValidation sqref="D22" showDropDown="0" showInputMessage="1" showErrorMessage="1" allowBlank="0" type="list">
      <formula1>"X,0"</formula1>
    </dataValidation>
  </dataValidation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35"/>
  <rowBreaks count="1" manualBreakCount="1">
    <brk id="55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14"/>
  <sheetViews>
    <sheetView view="pageBreakPreview" zoomScale="55" zoomScaleNormal="88" zoomScaleSheetLayoutView="55" workbookViewId="0">
      <selection activeCell="F26" sqref="F26:H26"/>
    </sheetView>
  </sheetViews>
  <sheetFormatPr baseColWidth="8" defaultColWidth="11.25" defaultRowHeight="15.75"/>
  <cols>
    <col width="10.75" customWidth="1" min="13" max="13"/>
    <col width="14.375" customWidth="1" min="14" max="14"/>
    <col width="10.75" customWidth="1" min="15" max="15"/>
    <col width="10.75" customWidth="1" min="17" max="17"/>
  </cols>
  <sheetData>
    <row r="1">
      <c r="A1" s="211" t="n"/>
      <c r="B1" s="139" t="n"/>
      <c r="C1" s="139" t="n"/>
      <c r="D1" s="599" t="inlineStr">
        <is>
          <t>PROVISION FOR MECHANICAL VALVE IN SITU PACKING
REPLACEMENT, MECHANICAL VALVE OVERHAULING, AUTOMATIC
RECIRCULATORY VALVE (ARV) SERVICING, AND MOV’S GEARBOX
SERVICING FOR PCFS TA2025</t>
        </is>
      </c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40" t="n"/>
      <c r="T1">
        <f>'Received Report'!T1</f>
        <v/>
      </c>
    </row>
    <row r="2">
      <c r="A2" s="127" t="n"/>
      <c r="D2" s="127" t="n"/>
      <c r="S2" s="141" t="n"/>
    </row>
    <row r="3">
      <c r="A3" s="127" t="n"/>
      <c r="D3" s="127" t="n"/>
      <c r="S3" s="141" t="n"/>
    </row>
    <row r="4">
      <c r="A4" s="127" t="n"/>
      <c r="D4" s="127" t="n"/>
      <c r="S4" s="141" t="n"/>
    </row>
    <row r="5">
      <c r="A5" s="127" t="n"/>
      <c r="D5" s="127" t="n"/>
      <c r="S5" s="141" t="n"/>
    </row>
    <row r="6">
      <c r="A6" s="127" t="n"/>
      <c r="D6" s="127" t="n"/>
      <c r="S6" s="141" t="n"/>
    </row>
    <row r="7">
      <c r="A7" s="127" t="n"/>
      <c r="D7" s="127" t="n"/>
      <c r="S7" s="141" t="n"/>
    </row>
    <row r="8">
      <c r="A8" s="127" t="n"/>
      <c r="D8" s="127" t="n"/>
      <c r="S8" s="141" t="n"/>
    </row>
    <row r="9">
      <c r="A9" s="127" t="n"/>
      <c r="D9" s="127" t="n"/>
      <c r="S9" s="141" t="n"/>
    </row>
    <row r="10">
      <c r="A10" s="127" t="n"/>
      <c r="D10" s="127" t="n"/>
      <c r="S10" s="141" t="n"/>
    </row>
    <row r="11">
      <c r="A11" s="127" t="n"/>
      <c r="D11" s="127" t="n"/>
      <c r="S11" s="141" t="n"/>
    </row>
    <row r="12" ht="16.5" customHeight="1" thickBot="1">
      <c r="A12" s="142" t="n"/>
      <c r="B12" s="143" t="n"/>
      <c r="C12" s="143" t="n"/>
      <c r="D12" s="142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43" t="n"/>
      <c r="R12" s="143" t="n"/>
      <c r="S12" s="144" t="n"/>
    </row>
    <row r="13" ht="15.6" customHeight="1">
      <c r="A13" s="600" t="inlineStr">
        <is>
          <t>FINDING REPORT</t>
        </is>
      </c>
      <c r="B13" s="601" t="n"/>
      <c r="C13" s="601" t="n"/>
      <c r="D13" s="601" t="n"/>
      <c r="E13" s="601" t="n"/>
      <c r="F13" s="601" t="n"/>
      <c r="G13" s="601" t="n"/>
      <c r="H13" s="601" t="n"/>
      <c r="I13" s="601" t="n"/>
      <c r="J13" s="601" t="n"/>
      <c r="K13" s="601" t="n"/>
      <c r="L13" s="601" t="n"/>
      <c r="M13" s="601" t="n"/>
      <c r="N13" s="601" t="n"/>
      <c r="O13" s="601" t="n"/>
      <c r="P13" s="601" t="n"/>
      <c r="Q13" s="601" t="n"/>
      <c r="R13" s="601" t="n"/>
      <c r="S13" s="602" t="n"/>
    </row>
    <row r="14" ht="16.15" customHeight="1" thickBot="1">
      <c r="A14" s="603" t="n"/>
      <c r="B14" s="604" t="n"/>
      <c r="C14" s="604" t="n"/>
      <c r="D14" s="604" t="n"/>
      <c r="E14" s="604" t="n"/>
      <c r="F14" s="604" t="n"/>
      <c r="G14" s="604" t="n"/>
      <c r="H14" s="604" t="n"/>
      <c r="I14" s="604" t="n"/>
      <c r="J14" s="604" t="n"/>
      <c r="K14" s="604" t="n"/>
      <c r="L14" s="604" t="n"/>
      <c r="M14" s="604" t="n"/>
      <c r="N14" s="604" t="n"/>
      <c r="O14" s="604" t="n"/>
      <c r="P14" s="604" t="n"/>
      <c r="Q14" s="604" t="n"/>
      <c r="R14" s="604" t="n"/>
      <c r="S14" s="605" t="n"/>
    </row>
    <row r="15" ht="27" customHeight="1" thickBot="1">
      <c r="A15" s="606" t="inlineStr">
        <is>
          <t>CLIENT</t>
        </is>
      </c>
      <c r="B15" s="607" t="n"/>
      <c r="C15" s="608" t="n"/>
      <c r="D15" s="606" t="inlineStr">
        <is>
          <t>PETRONAS CHEMICALS FERTILISER SABAH SDN BHD</t>
        </is>
      </c>
      <c r="E15" s="607" t="n"/>
      <c r="F15" s="607" t="n"/>
      <c r="G15" s="607" t="n"/>
      <c r="H15" s="607" t="n"/>
      <c r="I15" s="607" t="n"/>
      <c r="J15" s="607" t="n"/>
      <c r="K15" s="607" t="n"/>
      <c r="L15" s="607" t="n"/>
      <c r="M15" s="607" t="n"/>
      <c r="N15" s="607" t="n"/>
      <c r="O15" s="607" t="n"/>
      <c r="P15" s="607" t="n"/>
      <c r="Q15" s="607" t="n"/>
      <c r="R15" s="607" t="n"/>
      <c r="S15" s="608" t="n"/>
    </row>
    <row r="16" ht="25.15" customHeight="1" thickBot="1">
      <c r="A16" s="606" t="inlineStr">
        <is>
          <t>PROJECT</t>
        </is>
      </c>
      <c r="B16" s="607" t="n"/>
      <c r="C16" s="608" t="n"/>
      <c r="D16" s="606" t="inlineStr">
        <is>
          <t>VALVE MAINTENANCE/REPAIR</t>
        </is>
      </c>
      <c r="E16" s="607" t="n"/>
      <c r="F16" s="607" t="n"/>
      <c r="G16" s="607" t="n"/>
      <c r="H16" s="608" t="n"/>
      <c r="I16" s="606" t="inlineStr">
        <is>
          <t>DOC NO</t>
        </is>
      </c>
      <c r="J16" s="607" t="n"/>
      <c r="K16" s="607" t="n"/>
      <c r="L16" s="608" t="n"/>
      <c r="M16" s="655">
        <f>VLOOKUP($T1,Summary!$A$2:$AH$376,13,0)</f>
        <v/>
      </c>
      <c r="N16" s="607" t="n"/>
      <c r="O16" s="607" t="n"/>
      <c r="P16" s="607" t="n"/>
      <c r="Q16" s="607" t="n"/>
      <c r="R16" s="607" t="n"/>
      <c r="S16" s="608" t="n"/>
    </row>
    <row r="17" ht="25.15" customHeight="1" thickBot="1">
      <c r="A17" s="606" t="inlineStr">
        <is>
          <t>LOCATION</t>
        </is>
      </c>
      <c r="B17" s="607" t="n"/>
      <c r="C17" s="608" t="n"/>
      <c r="D17" s="606" t="inlineStr">
        <is>
          <t>SIPITANG SABAH</t>
        </is>
      </c>
      <c r="E17" s="607" t="n"/>
      <c r="F17" s="607" t="n"/>
      <c r="G17" s="607" t="n"/>
      <c r="H17" s="608" t="n"/>
      <c r="I17" s="606" t="inlineStr">
        <is>
          <t>SIZE INLET</t>
        </is>
      </c>
      <c r="J17" s="607" t="n"/>
      <c r="K17" s="607" t="n"/>
      <c r="L17" s="608" t="n"/>
      <c r="M17" s="137">
        <f>VLOOKUP($T$1,Summary!$A$2:$AH$376,22,0)</f>
        <v/>
      </c>
      <c r="N17" s="125" t="inlineStr">
        <is>
          <t>RATING</t>
        </is>
      </c>
      <c r="O17" s="136">
        <f>VLOOKUP($T$1,Summary!$A$2:$AH$376,26,0)</f>
        <v/>
      </c>
      <c r="P17" s="656" t="inlineStr">
        <is>
          <t>INLET TYPE</t>
        </is>
      </c>
      <c r="Q17" s="613" t="n"/>
      <c r="R17" s="657">
        <f>VLOOKUP($T$1,Summary!$A$2:$AH$376,24,0)</f>
        <v/>
      </c>
      <c r="S17" s="613" t="n"/>
    </row>
    <row r="18" ht="25.15" customHeight="1" thickBot="1">
      <c r="A18" s="606" t="inlineStr">
        <is>
          <t>DATE IN</t>
        </is>
      </c>
      <c r="B18" s="607" t="n"/>
      <c r="C18" s="608" t="n"/>
      <c r="D18" s="658">
        <f>VLOOKUP($T$1,Summary!$A$2:$AH$376,11,0)</f>
        <v/>
      </c>
      <c r="E18" s="607" t="n"/>
      <c r="F18" s="607" t="n"/>
      <c r="G18" s="607" t="n"/>
      <c r="H18" s="608" t="n"/>
      <c r="I18" s="606" t="inlineStr">
        <is>
          <t>SIZE OUTLET</t>
        </is>
      </c>
      <c r="J18" s="607" t="n"/>
      <c r="K18" s="607" t="n"/>
      <c r="L18" s="608" t="n"/>
      <c r="M18" s="137">
        <f>VLOOKUP($T$1,Summary!$A$2:$AH$376,23,0)</f>
        <v/>
      </c>
      <c r="N18" s="125" t="inlineStr">
        <is>
          <t>RATING</t>
        </is>
      </c>
      <c r="O18" s="136">
        <f>VLOOKUP($T$1,Summary!$A$2:$AH$376,27,0)</f>
        <v/>
      </c>
      <c r="P18" s="656" t="inlineStr">
        <is>
          <t>OUTLET TYPE</t>
        </is>
      </c>
      <c r="Q18" s="613" t="n"/>
      <c r="R18" s="657">
        <f>VLOOKUP($T$1,Summary!$A$2:$AH$376,25,0)</f>
        <v/>
      </c>
      <c r="S18" s="613" t="n"/>
    </row>
    <row r="19" ht="24" customHeight="1" thickBot="1">
      <c r="A19" s="606" t="inlineStr">
        <is>
          <t>WO</t>
        </is>
      </c>
      <c r="B19" s="607" t="n"/>
      <c r="C19" s="608" t="n"/>
      <c r="D19" s="659">
        <f>VLOOKUP($T$1,Summary!$A$2:$AH$376,2,0)</f>
        <v/>
      </c>
      <c r="E19" s="607" t="n"/>
      <c r="F19" s="607" t="n"/>
      <c r="G19" s="607" t="n"/>
      <c r="H19" s="608" t="n"/>
      <c r="I19" s="606" t="inlineStr">
        <is>
          <t>MANUFACTURER</t>
        </is>
      </c>
      <c r="J19" s="607" t="n"/>
      <c r="K19" s="607" t="n"/>
      <c r="L19" s="608" t="n"/>
      <c r="M19" s="655">
        <f>VLOOKUP($T$1,Summary!$A$2:$AH$376,6,0)</f>
        <v/>
      </c>
      <c r="N19" s="607" t="n"/>
      <c r="O19" s="607" t="n"/>
      <c r="P19" s="607" t="n"/>
      <c r="Q19" s="607" t="n"/>
      <c r="R19" s="607" t="n"/>
      <c r="S19" s="608" t="n"/>
    </row>
    <row r="20" ht="24" customHeight="1" thickBot="1">
      <c r="A20" s="606" t="inlineStr">
        <is>
          <t>TAG NO</t>
        </is>
      </c>
      <c r="B20" s="607" t="n"/>
      <c r="C20" s="608" t="n"/>
      <c r="D20" s="658">
        <f>VLOOKUP($T$1,Summary!$A$2:$AH$376,9,0)</f>
        <v/>
      </c>
      <c r="E20" s="607" t="n"/>
      <c r="F20" s="607" t="n"/>
      <c r="G20" s="607" t="n"/>
      <c r="H20" s="608" t="n"/>
      <c r="I20" s="606" t="inlineStr">
        <is>
          <t>TYPE OF VALVE</t>
        </is>
      </c>
      <c r="J20" s="607" t="n"/>
      <c r="K20" s="607" t="n"/>
      <c r="L20" s="608" t="n"/>
      <c r="M20" s="655">
        <f>VLOOKUP($T$1,Summary!$A$2:$AH$376,5,0)</f>
        <v/>
      </c>
      <c r="N20" s="607" t="n"/>
      <c r="O20" s="607" t="n"/>
      <c r="P20" s="607" t="n"/>
      <c r="Q20" s="607" t="n"/>
      <c r="R20" s="607" t="n"/>
      <c r="S20" s="608" t="n"/>
    </row>
    <row r="21" ht="25.15" customHeight="1" thickBot="1">
      <c r="A21" s="606" t="n"/>
      <c r="B21" s="607" t="n"/>
      <c r="C21" s="608" t="n"/>
      <c r="D21" s="617" t="n"/>
      <c r="E21" s="607" t="n"/>
      <c r="F21" s="607" t="n"/>
      <c r="G21" s="607" t="n"/>
      <c r="H21" s="608" t="n"/>
      <c r="I21" s="660" t="inlineStr">
        <is>
          <t>VALVE OPERATED TYPE</t>
        </is>
      </c>
      <c r="J21" s="619" t="n"/>
      <c r="K21" s="619" t="n"/>
      <c r="L21" s="620" t="n"/>
      <c r="M21" s="655">
        <f>VLOOKUP($T$1,Summary!$A$2:$AH$376,7,0)</f>
        <v/>
      </c>
      <c r="N21" s="607" t="n"/>
      <c r="O21" s="607" t="n"/>
      <c r="P21" s="607" t="n"/>
      <c r="Q21" s="607" t="n"/>
      <c r="R21" s="607" t="n"/>
      <c r="S21" s="608" t="n"/>
    </row>
    <row r="22" ht="24" customHeight="1" thickBot="1">
      <c r="A22" s="222" t="inlineStr">
        <is>
          <t>INSITU TESTING</t>
        </is>
      </c>
      <c r="B22" s="621" t="n"/>
      <c r="C22" s="621" t="n"/>
      <c r="D22" s="15" t="n">
        <v>0</v>
      </c>
      <c r="E22" s="622" t="inlineStr">
        <is>
          <t>SERVICE &amp; REPAIR</t>
        </is>
      </c>
      <c r="F22" s="621" t="n"/>
      <c r="G22" s="621" t="n"/>
      <c r="H22" s="613" t="n"/>
      <c r="I22" s="15" t="n">
        <v>0</v>
      </c>
      <c r="J22" s="216" t="inlineStr">
        <is>
          <t>TESTING ONLY</t>
        </is>
      </c>
      <c r="K22" s="621" t="n"/>
      <c r="L22" s="621" t="n"/>
      <c r="M22" s="621" t="n"/>
      <c r="N22" s="15" t="n"/>
      <c r="O22" s="622" t="inlineStr">
        <is>
          <t xml:space="preserve">   REPLACE NEW VALVE</t>
        </is>
      </c>
      <c r="P22" s="621" t="n"/>
      <c r="Q22" s="621" t="n"/>
      <c r="R22" s="613" t="n"/>
      <c r="S22" s="16" t="n">
        <v>0</v>
      </c>
    </row>
    <row r="23" ht="24" customHeight="1" thickBot="1">
      <c r="A23" s="623" t="inlineStr">
        <is>
          <t>AS RECEIVED VISUAL INSPECTION (EXTERNAL)</t>
        </is>
      </c>
      <c r="B23" s="621" t="n"/>
      <c r="C23" s="621" t="n"/>
      <c r="D23" s="621" t="n"/>
      <c r="E23" s="621" t="n"/>
      <c r="F23" s="621" t="n"/>
      <c r="G23" s="621" t="n"/>
      <c r="H23" s="621" t="n"/>
      <c r="I23" s="621" t="n"/>
      <c r="J23" s="621" t="n"/>
      <c r="K23" s="621" t="n"/>
      <c r="L23" s="621" t="n"/>
      <c r="M23" s="621" t="n"/>
      <c r="N23" s="621" t="n"/>
      <c r="O23" s="621" t="n"/>
      <c r="P23" s="621" t="n"/>
      <c r="Q23" s="621" t="n"/>
      <c r="R23" s="621" t="n"/>
      <c r="S23" s="613" t="n"/>
    </row>
    <row r="24" ht="24" customHeight="1" thickBot="1">
      <c r="A24" s="661" t="inlineStr">
        <is>
          <t>DESCRIPTION</t>
        </is>
      </c>
      <c r="B24" s="604" t="n"/>
      <c r="C24" s="604" t="n"/>
      <c r="D24" s="604" t="n"/>
      <c r="E24" s="605" t="n"/>
      <c r="F24" s="662" t="inlineStr">
        <is>
          <t>CONDITION</t>
        </is>
      </c>
      <c r="G24" s="604" t="n"/>
      <c r="H24" s="605" t="n"/>
      <c r="I24" s="662" t="inlineStr">
        <is>
          <t xml:space="preserve">            ACTION</t>
        </is>
      </c>
      <c r="J24" s="604" t="n"/>
      <c r="K24" s="604" t="n"/>
      <c r="L24" s="604" t="n"/>
      <c r="M24" s="605" t="n"/>
      <c r="N24" s="662" t="inlineStr">
        <is>
          <t>REMARK</t>
        </is>
      </c>
      <c r="O24" s="604" t="n"/>
      <c r="P24" s="604" t="n"/>
      <c r="Q24" s="604" t="n"/>
      <c r="R24" s="604" t="n"/>
      <c r="S24" s="605" t="n"/>
    </row>
    <row r="25" ht="29.45" customHeight="1" thickBot="1">
      <c r="A25" s="663" t="inlineStr">
        <is>
          <t>GENERAL APPEARANCE</t>
        </is>
      </c>
      <c r="B25" s="664" t="n"/>
      <c r="C25" s="664" t="n"/>
      <c r="D25" s="664" t="n"/>
      <c r="E25" s="665" t="n"/>
      <c r="F25" s="666">
        <f>'Received Report'!F47</f>
        <v/>
      </c>
      <c r="G25" s="607" t="n"/>
      <c r="H25" s="608" t="n"/>
      <c r="I25" s="667" t="inlineStr">
        <is>
          <t>TO REPLACE NEW</t>
        </is>
      </c>
      <c r="J25" s="664" t="n"/>
      <c r="K25" s="664" t="n"/>
      <c r="L25" s="664" t="n"/>
      <c r="M25" s="665" t="n"/>
      <c r="N25" s="668" t="inlineStr">
        <is>
          <t>NO SPARE KIT</t>
        </is>
      </c>
      <c r="O25" s="664" t="n"/>
      <c r="P25" s="664" t="n"/>
      <c r="Q25" s="664" t="n"/>
      <c r="R25" s="664" t="n"/>
      <c r="S25" s="665" t="n"/>
    </row>
    <row r="26" ht="24" customHeight="1" thickBot="1">
      <c r="A26" s="663" t="inlineStr">
        <is>
          <t>NAMEPLATE</t>
        </is>
      </c>
      <c r="B26" s="664" t="n"/>
      <c r="C26" s="664" t="n"/>
      <c r="D26" s="664" t="n"/>
      <c r="E26" s="665" t="n"/>
      <c r="F26" s="666" t="inlineStr">
        <is>
          <t>AVAILABLE</t>
        </is>
      </c>
      <c r="G26" s="607" t="n"/>
      <c r="H26" s="608" t="n"/>
      <c r="I26" s="669" t="inlineStr">
        <is>
          <t>TO BUILD UP &amp; MACHINE</t>
        </is>
      </c>
      <c r="J26" s="664" t="n"/>
      <c r="K26" s="664" t="n"/>
      <c r="L26" s="664" t="n"/>
      <c r="M26" s="665" t="n"/>
      <c r="N26" s="668" t="inlineStr">
        <is>
          <t>NEED TO REPLACED</t>
        </is>
      </c>
      <c r="O26" s="664" t="n"/>
      <c r="P26" s="664" t="n"/>
      <c r="Q26" s="664" t="n"/>
      <c r="R26" s="664" t="n"/>
      <c r="S26" s="665" t="n"/>
    </row>
    <row r="27" ht="24" customHeight="1" thickBot="1">
      <c r="A27" s="663" t="inlineStr">
        <is>
          <t>OVERALL FLANGES/CONNECTION CONDT'N</t>
        </is>
      </c>
      <c r="B27" s="664" t="n"/>
      <c r="C27" s="664" t="n"/>
      <c r="D27" s="664" t="n"/>
      <c r="E27" s="665" t="n"/>
      <c r="F27" s="666" t="inlineStr">
        <is>
          <t>MISSING</t>
        </is>
      </c>
      <c r="G27" s="607" t="n"/>
      <c r="H27" s="608" t="n"/>
      <c r="I27" s="669" t="inlineStr">
        <is>
          <t>TO LAPPING</t>
        </is>
      </c>
      <c r="J27" s="664" t="n"/>
      <c r="K27" s="664" t="n"/>
      <c r="L27" s="664" t="n"/>
      <c r="M27" s="665" t="n"/>
      <c r="N27" s="668" t="inlineStr">
        <is>
          <t>NO SPARE KIT</t>
        </is>
      </c>
      <c r="O27" s="664" t="n"/>
      <c r="P27" s="664" t="n"/>
      <c r="Q27" s="664" t="n"/>
      <c r="R27" s="664" t="n"/>
      <c r="S27" s="665" t="n"/>
    </row>
    <row r="28" ht="24" customHeight="1" thickBot="1">
      <c r="A28" s="663" t="inlineStr">
        <is>
          <t>STEM</t>
        </is>
      </c>
      <c r="B28" s="664" t="n"/>
      <c r="C28" s="664" t="n"/>
      <c r="D28" s="664" t="n"/>
      <c r="E28" s="665" t="n"/>
      <c r="F28" s="670" t="inlineStr">
        <is>
          <t xml:space="preserve">NEW </t>
        </is>
      </c>
      <c r="G28" s="664" t="n"/>
      <c r="H28" s="665" t="n"/>
      <c r="I28" s="669" t="inlineStr">
        <is>
          <t>TO LAPPING</t>
        </is>
      </c>
      <c r="J28" s="664" t="n"/>
      <c r="K28" s="664" t="n"/>
      <c r="L28" s="664" t="n"/>
      <c r="M28" s="665" t="n"/>
      <c r="N28" s="668" t="inlineStr">
        <is>
          <t>NEED TO REPLACED</t>
        </is>
      </c>
      <c r="O28" s="664" t="n"/>
      <c r="P28" s="664" t="n"/>
      <c r="Q28" s="664" t="n"/>
      <c r="R28" s="664" t="n"/>
      <c r="S28" s="665" t="n"/>
    </row>
    <row r="29" ht="24" customHeight="1" thickBot="1">
      <c r="A29" s="663" t="inlineStr">
        <is>
          <t>VALVE BODY</t>
        </is>
      </c>
      <c r="B29" s="664" t="n"/>
      <c r="C29" s="664" t="n"/>
      <c r="D29" s="664" t="n"/>
      <c r="E29" s="665" t="n"/>
      <c r="F29" s="670" t="inlineStr">
        <is>
          <t xml:space="preserve">NEW </t>
        </is>
      </c>
      <c r="G29" s="664" t="n"/>
      <c r="H29" s="665" t="n"/>
      <c r="I29" s="669" t="inlineStr">
        <is>
          <t>N/A</t>
        </is>
      </c>
      <c r="J29" s="664" t="n"/>
      <c r="K29" s="664" t="n"/>
      <c r="L29" s="664" t="n"/>
      <c r="M29" s="665" t="n"/>
      <c r="N29" s="668" t="inlineStr">
        <is>
          <t>NEED TO REPLACED</t>
        </is>
      </c>
      <c r="O29" s="664" t="n"/>
      <c r="P29" s="664" t="n"/>
      <c r="Q29" s="664" t="n"/>
      <c r="R29" s="664" t="n"/>
      <c r="S29" s="665" t="n"/>
    </row>
    <row r="30" ht="24" customHeight="1" thickBot="1">
      <c r="A30" s="663" t="inlineStr">
        <is>
          <t>HANDWHEELS</t>
        </is>
      </c>
      <c r="B30" s="664" t="n"/>
      <c r="C30" s="664" t="n"/>
      <c r="D30" s="664" t="n"/>
      <c r="E30" s="665" t="n"/>
      <c r="F30" s="670" t="inlineStr">
        <is>
          <t>NOT APPLICABLE</t>
        </is>
      </c>
      <c r="G30" s="664" t="n"/>
      <c r="H30" s="665" t="n"/>
      <c r="I30" s="669" t="inlineStr">
        <is>
          <t>TO BUILD UP &amp; MACHINE</t>
        </is>
      </c>
      <c r="J30" s="664" t="n"/>
      <c r="K30" s="664" t="n"/>
      <c r="L30" s="664" t="n"/>
      <c r="M30" s="665" t="n"/>
      <c r="N30" s="668" t="inlineStr">
        <is>
          <t>NO SPARE KIT</t>
        </is>
      </c>
      <c r="O30" s="664" t="n"/>
      <c r="P30" s="664" t="n"/>
      <c r="Q30" s="664" t="n"/>
      <c r="R30" s="664" t="n"/>
      <c r="S30" s="665" t="n"/>
    </row>
    <row r="31" ht="24" customHeight="1" thickBot="1">
      <c r="A31" s="663" t="inlineStr">
        <is>
          <t>VALVE BONNET</t>
        </is>
      </c>
      <c r="B31" s="664" t="n"/>
      <c r="C31" s="664" t="n"/>
      <c r="D31" s="664" t="n"/>
      <c r="E31" s="665" t="n"/>
      <c r="F31" s="670" t="inlineStr">
        <is>
          <t>IN PLACED</t>
        </is>
      </c>
      <c r="G31" s="664" t="n"/>
      <c r="H31" s="665" t="n"/>
      <c r="I31" s="669" t="inlineStr">
        <is>
          <t xml:space="preserve">CLEANING </t>
        </is>
      </c>
      <c r="J31" s="664" t="n"/>
      <c r="K31" s="664" t="n"/>
      <c r="L31" s="664" t="n"/>
      <c r="M31" s="665" t="n"/>
      <c r="N31" s="668" t="inlineStr">
        <is>
          <t>NO SPARE KIT</t>
        </is>
      </c>
      <c r="O31" s="664" t="n"/>
      <c r="P31" s="664" t="n"/>
      <c r="Q31" s="664" t="n"/>
      <c r="R31" s="664" t="n"/>
      <c r="S31" s="665" t="n"/>
    </row>
    <row r="32" ht="24" customHeight="1" thickBot="1">
      <c r="A32" s="663" t="inlineStr">
        <is>
          <t>YOKE</t>
        </is>
      </c>
      <c r="B32" s="664" t="n"/>
      <c r="C32" s="664" t="n"/>
      <c r="D32" s="664" t="n"/>
      <c r="E32" s="665" t="n"/>
      <c r="F32" s="670" t="inlineStr">
        <is>
          <t>DIRTY</t>
        </is>
      </c>
      <c r="G32" s="664" t="n"/>
      <c r="H32" s="665" t="n"/>
      <c r="I32" s="669" t="inlineStr">
        <is>
          <t>TO BUILD UP &amp; MACHINE</t>
        </is>
      </c>
      <c r="J32" s="664" t="n"/>
      <c r="K32" s="664" t="n"/>
      <c r="L32" s="664" t="n"/>
      <c r="M32" s="665" t="n"/>
      <c r="N32" s="668" t="inlineStr">
        <is>
          <t xml:space="preserve">N/A </t>
        </is>
      </c>
      <c r="O32" s="664" t="n"/>
      <c r="P32" s="664" t="n"/>
      <c r="Q32" s="664" t="n"/>
      <c r="R32" s="664" t="n"/>
      <c r="S32" s="665" t="n"/>
    </row>
    <row r="33" ht="24" customHeight="1" thickBot="1">
      <c r="A33" s="663" t="inlineStr">
        <is>
          <t xml:space="preserve">BOLT NUT </t>
        </is>
      </c>
      <c r="B33" s="664" t="n"/>
      <c r="C33" s="664" t="n"/>
      <c r="D33" s="664" t="n"/>
      <c r="E33" s="665" t="n"/>
      <c r="F33" s="670" t="inlineStr">
        <is>
          <t xml:space="preserve">NEW </t>
        </is>
      </c>
      <c r="G33" s="664" t="n"/>
      <c r="H33" s="665" t="n"/>
      <c r="I33" s="669" t="inlineStr">
        <is>
          <t>TO REPLACE NEW</t>
        </is>
      </c>
      <c r="J33" s="664" t="n"/>
      <c r="K33" s="664" t="n"/>
      <c r="L33" s="664" t="n"/>
      <c r="M33" s="665" t="n"/>
      <c r="N33" s="668" t="inlineStr">
        <is>
          <t>BADLY DAMAGED</t>
        </is>
      </c>
      <c r="O33" s="664" t="n"/>
      <c r="P33" s="664" t="n"/>
      <c r="Q33" s="664" t="n"/>
      <c r="R33" s="664" t="n"/>
      <c r="S33" s="665" t="n"/>
    </row>
    <row r="34" ht="24" customHeight="1" thickBot="1">
      <c r="A34" s="663" t="inlineStr">
        <is>
          <t>INLET/OUTLET FLANGE</t>
        </is>
      </c>
      <c r="B34" s="664" t="n"/>
      <c r="C34" s="664" t="n"/>
      <c r="D34" s="664" t="n"/>
      <c r="E34" s="665" t="n"/>
      <c r="F34" s="670" t="inlineStr">
        <is>
          <t>OK</t>
        </is>
      </c>
      <c r="G34" s="664" t="n"/>
      <c r="H34" s="665" t="n"/>
      <c r="I34" s="669" t="inlineStr">
        <is>
          <t>N/A</t>
        </is>
      </c>
      <c r="J34" s="664" t="n"/>
      <c r="K34" s="664" t="n"/>
      <c r="L34" s="664" t="n"/>
      <c r="M34" s="665" t="n"/>
      <c r="N34" s="668" t="inlineStr">
        <is>
          <t>REUSEABLE</t>
        </is>
      </c>
      <c r="O34" s="664" t="n"/>
      <c r="P34" s="664" t="n"/>
      <c r="Q34" s="664" t="n"/>
      <c r="R34" s="664" t="n"/>
      <c r="S34" s="665" t="n"/>
    </row>
    <row r="35" ht="24" customHeight="1" thickBot="1">
      <c r="A35" s="671" t="inlineStr">
        <is>
          <t>GEAR BOX/ACTUATOR</t>
        </is>
      </c>
      <c r="B35" s="672" t="n"/>
      <c r="C35" s="672" t="n"/>
      <c r="D35" s="672" t="n"/>
      <c r="E35" s="673" t="n"/>
      <c r="F35" s="674" t="inlineStr">
        <is>
          <t>NOT AVAILABLE</t>
        </is>
      </c>
      <c r="G35" s="672" t="n"/>
      <c r="H35" s="673" t="n"/>
      <c r="I35" s="675" t="inlineStr">
        <is>
          <t>N/A</t>
        </is>
      </c>
      <c r="J35" s="672" t="n"/>
      <c r="K35" s="672" t="n"/>
      <c r="L35" s="672" t="n"/>
      <c r="M35" s="673" t="n"/>
      <c r="N35" s="676" t="inlineStr">
        <is>
          <t xml:space="preserve">N/A </t>
        </is>
      </c>
      <c r="O35" s="672" t="n"/>
      <c r="P35" s="672" t="n"/>
      <c r="Q35" s="672" t="n"/>
      <c r="R35" s="672" t="n"/>
      <c r="S35" s="673" t="n"/>
    </row>
    <row r="36" ht="24" customHeight="1" thickBot="1">
      <c r="A36" s="623" t="inlineStr">
        <is>
          <t>PRE-TEST (HYDROTEST/LEAKED TEST)</t>
        </is>
      </c>
      <c r="B36" s="621" t="n"/>
      <c r="C36" s="621" t="n"/>
      <c r="D36" s="621" t="n"/>
      <c r="E36" s="621" t="n"/>
      <c r="F36" s="621" t="n"/>
      <c r="G36" s="621" t="n"/>
      <c r="H36" s="621" t="n"/>
      <c r="I36" s="621" t="n"/>
      <c r="J36" s="621" t="n"/>
      <c r="K36" s="621" t="n"/>
      <c r="L36" s="621" t="n"/>
      <c r="M36" s="621" t="n"/>
      <c r="N36" s="621" t="n"/>
      <c r="O36" s="621" t="n"/>
      <c r="P36" s="621" t="n"/>
      <c r="Q36" s="621" t="n"/>
      <c r="R36" s="621" t="n"/>
      <c r="S36" s="613" t="n"/>
    </row>
    <row r="37" ht="24" customHeight="1" thickBot="1">
      <c r="A37" s="677" t="inlineStr">
        <is>
          <t>TYPE OF TEST</t>
        </is>
      </c>
      <c r="B37" s="678" t="n"/>
      <c r="C37" s="678" t="n"/>
      <c r="D37" s="678" t="n"/>
      <c r="E37" s="678" t="n"/>
      <c r="F37" s="679" t="n"/>
      <c r="G37" s="680" t="inlineStr">
        <is>
          <t>HYDROTEST</t>
        </is>
      </c>
      <c r="H37" s="678" t="n"/>
      <c r="I37" s="678" t="n"/>
      <c r="J37" s="679" t="n"/>
      <c r="K37" s="677" t="inlineStr">
        <is>
          <t>TEST MEDIUM</t>
        </is>
      </c>
      <c r="L37" s="678" t="n"/>
      <c r="M37" s="678" t="n"/>
      <c r="N37" s="679" t="n"/>
      <c r="O37" s="680" t="inlineStr">
        <is>
          <t>WATER</t>
        </is>
      </c>
      <c r="P37" s="678" t="n"/>
      <c r="Q37" s="678" t="n"/>
      <c r="R37" s="678" t="n"/>
      <c r="S37" s="679" t="n"/>
    </row>
    <row r="38" ht="24" customHeight="1" thickBot="1">
      <c r="A38" s="334" t="inlineStr">
        <is>
          <t>DECRIPTION</t>
        </is>
      </c>
      <c r="B38" s="678" t="n"/>
      <c r="C38" s="678" t="n"/>
      <c r="D38" s="678" t="n"/>
      <c r="E38" s="678" t="n"/>
      <c r="F38" s="681" t="n"/>
      <c r="G38" s="337" t="inlineStr">
        <is>
          <t>PRESSURE</t>
        </is>
      </c>
      <c r="H38" s="678" t="n"/>
      <c r="I38" s="678" t="n"/>
      <c r="J38" s="681" t="n"/>
      <c r="K38" s="313" t="inlineStr">
        <is>
          <t>DURATION</t>
        </is>
      </c>
      <c r="L38" s="678" t="n"/>
      <c r="M38" s="678" t="n"/>
      <c r="N38" s="681" t="n"/>
      <c r="O38" s="337" t="inlineStr">
        <is>
          <t>RESULT &amp; REMARKS</t>
        </is>
      </c>
      <c r="P38" s="678" t="n"/>
      <c r="Q38" s="678" t="n"/>
      <c r="R38" s="678" t="n"/>
      <c r="S38" s="681" t="n"/>
    </row>
    <row r="39" ht="24" customHeight="1">
      <c r="A39" s="58" t="inlineStr">
        <is>
          <t>A</t>
        </is>
      </c>
      <c r="B39" s="339" t="inlineStr">
        <is>
          <t>SHELL</t>
        </is>
      </c>
      <c r="C39" s="682" t="n"/>
      <c r="D39" s="682" t="n"/>
      <c r="E39" s="682" t="n"/>
      <c r="F39" s="683" t="n"/>
      <c r="G39" s="684" t="inlineStr">
        <is>
          <t>10 Bar</t>
        </is>
      </c>
      <c r="H39" s="685" t="n"/>
      <c r="I39" s="685" t="n"/>
      <c r="J39" s="686" t="n"/>
      <c r="K39" s="684" t="inlineStr">
        <is>
          <t>15 Minutes</t>
        </is>
      </c>
      <c r="L39" s="685" t="n"/>
      <c r="M39" s="685" t="n"/>
      <c r="N39" s="686" t="n"/>
      <c r="O39" s="684" t="inlineStr">
        <is>
          <t>NO LEAK &amp; ACCEPTED</t>
        </is>
      </c>
      <c r="P39" s="685" t="n"/>
      <c r="Q39" s="685" t="n"/>
      <c r="R39" s="685" t="n"/>
      <c r="S39" s="686" t="n"/>
    </row>
    <row r="40" ht="24" customHeight="1">
      <c r="A40" s="56" t="inlineStr">
        <is>
          <t>B</t>
        </is>
      </c>
      <c r="B40" s="342" t="inlineStr">
        <is>
          <t>BACKSEAT</t>
        </is>
      </c>
      <c r="C40" s="687" t="n"/>
      <c r="D40" s="687" t="n"/>
      <c r="E40" s="687" t="n"/>
      <c r="F40" s="688" t="n"/>
      <c r="G40" s="689" t="inlineStr">
        <is>
          <t>10 Bar</t>
        </is>
      </c>
      <c r="H40" s="687" t="n"/>
      <c r="I40" s="687" t="n"/>
      <c r="J40" s="690" t="n"/>
      <c r="K40" s="689" t="inlineStr">
        <is>
          <t>15 Minutes</t>
        </is>
      </c>
      <c r="L40" s="687" t="n"/>
      <c r="M40" s="687" t="n"/>
      <c r="N40" s="690" t="n"/>
      <c r="O40" s="689" t="inlineStr">
        <is>
          <t>NO LEAK &amp; ACCEPTED</t>
        </is>
      </c>
      <c r="P40" s="687" t="n"/>
      <c r="Q40" s="687" t="n"/>
      <c r="R40" s="687" t="n"/>
      <c r="S40" s="690" t="n"/>
    </row>
    <row r="41" ht="24" customHeight="1" thickBot="1">
      <c r="A41" s="57" t="inlineStr">
        <is>
          <t>C</t>
        </is>
      </c>
      <c r="B41" s="345" t="inlineStr">
        <is>
          <t>SEAT</t>
        </is>
      </c>
      <c r="C41" s="691" t="n"/>
      <c r="D41" s="691" t="n"/>
      <c r="E41" s="691" t="n"/>
      <c r="F41" s="692" t="n"/>
      <c r="G41" s="693" t="inlineStr">
        <is>
          <t>10 Bar</t>
        </is>
      </c>
      <c r="H41" s="694" t="n"/>
      <c r="I41" s="694" t="n"/>
      <c r="J41" s="695" t="n"/>
      <c r="K41" s="693" t="inlineStr">
        <is>
          <t>15 Minutes</t>
        </is>
      </c>
      <c r="L41" s="694" t="n"/>
      <c r="M41" s="694" t="n"/>
      <c r="N41" s="695" t="n"/>
      <c r="O41" s="693" t="inlineStr">
        <is>
          <t>NO LEAK &amp; ACCEPTED</t>
        </is>
      </c>
      <c r="P41" s="694" t="n"/>
      <c r="Q41" s="694" t="n"/>
      <c r="R41" s="694" t="n"/>
      <c r="S41" s="695" t="n"/>
    </row>
    <row r="42" ht="24" customHeight="1" thickBot="1">
      <c r="A42" s="273" t="inlineStr">
        <is>
          <t>TEST ACCORDANCE TO</t>
        </is>
      </c>
      <c r="B42" s="678" t="n"/>
      <c r="C42" s="678" t="n"/>
      <c r="D42" s="678" t="n"/>
      <c r="E42" s="678" t="n"/>
      <c r="F42" s="681" t="n"/>
      <c r="G42" s="377" t="inlineStr">
        <is>
          <t>API 2000</t>
        </is>
      </c>
      <c r="H42" s="678" t="n"/>
      <c r="I42" s="678" t="n"/>
      <c r="J42" s="678" t="n"/>
      <c r="K42" s="678" t="n"/>
      <c r="L42" s="678" t="n"/>
      <c r="M42" s="678" t="n"/>
      <c r="N42" s="678" t="n"/>
      <c r="O42" s="678" t="n"/>
      <c r="P42" s="678" t="n"/>
      <c r="Q42" s="678" t="n"/>
      <c r="R42" s="678" t="n"/>
      <c r="S42" s="681" t="n"/>
    </row>
    <row r="43" ht="24" customHeight="1" thickBot="1">
      <c r="A43" s="623" t="inlineStr">
        <is>
          <t>INTERNAL PARTS INSPECTION</t>
        </is>
      </c>
      <c r="B43" s="621" t="n"/>
      <c r="C43" s="621" t="n"/>
      <c r="D43" s="621" t="n"/>
      <c r="E43" s="621" t="n"/>
      <c r="F43" s="621" t="n"/>
      <c r="G43" s="621" t="n"/>
      <c r="H43" s="621" t="n"/>
      <c r="I43" s="621" t="n"/>
      <c r="J43" s="621" t="n"/>
      <c r="K43" s="621" t="n"/>
      <c r="L43" s="621" t="n"/>
      <c r="M43" s="621" t="n"/>
      <c r="N43" s="621" t="n"/>
      <c r="O43" s="621" t="n"/>
      <c r="P43" s="621" t="n"/>
      <c r="Q43" s="621" t="n"/>
      <c r="R43" s="621" t="n"/>
      <c r="S43" s="613" t="n"/>
    </row>
    <row r="44" ht="24" customHeight="1" thickBot="1">
      <c r="A44" s="696" t="inlineStr">
        <is>
          <t>DESCRIPTION</t>
        </is>
      </c>
      <c r="B44" s="630" t="n"/>
      <c r="C44" s="630" t="n"/>
      <c r="D44" s="630" t="n"/>
      <c r="E44" s="635" t="n"/>
      <c r="F44" s="697" t="inlineStr">
        <is>
          <t>CONDITION</t>
        </is>
      </c>
      <c r="G44" s="630" t="n"/>
      <c r="H44" s="635" t="n"/>
      <c r="I44" s="697" t="inlineStr">
        <is>
          <t>ACTION</t>
        </is>
      </c>
      <c r="J44" s="630" t="n"/>
      <c r="K44" s="630" t="n"/>
      <c r="L44" s="630" t="n"/>
      <c r="M44" s="635" t="n"/>
      <c r="N44" s="697" t="inlineStr">
        <is>
          <t>REMARK</t>
        </is>
      </c>
      <c r="O44" s="630" t="n"/>
      <c r="P44" s="630" t="n"/>
      <c r="Q44" s="630" t="n"/>
      <c r="R44" s="630" t="n"/>
      <c r="S44" s="635" t="n"/>
    </row>
    <row r="45" ht="24" customHeight="1" thickBot="1">
      <c r="A45" s="663" t="inlineStr">
        <is>
          <t>BODY</t>
        </is>
      </c>
      <c r="B45" s="664" t="n"/>
      <c r="C45" s="664" t="n"/>
      <c r="D45" s="664" t="n"/>
      <c r="E45" s="665" t="n"/>
      <c r="F45" s="670" t="inlineStr">
        <is>
          <t>MAJOR SCRATCH</t>
        </is>
      </c>
      <c r="G45" s="664" t="n"/>
      <c r="H45" s="665" t="n"/>
      <c r="I45" s="670" t="inlineStr">
        <is>
          <t xml:space="preserve">NOT APPLICABLE </t>
        </is>
      </c>
      <c r="J45" s="664" t="n"/>
      <c r="K45" s="664" t="n"/>
      <c r="L45" s="664" t="n"/>
      <c r="M45" s="665" t="n"/>
      <c r="N45" s="670" t="inlineStr">
        <is>
          <t>N/A</t>
        </is>
      </c>
      <c r="O45" s="664" t="n"/>
      <c r="P45" s="664" t="n"/>
      <c r="Q45" s="664" t="n"/>
      <c r="R45" s="664" t="n"/>
      <c r="S45" s="665" t="n"/>
    </row>
    <row r="46" ht="24" customHeight="1" thickBot="1">
      <c r="A46" s="663" t="inlineStr">
        <is>
          <t>BONNET</t>
        </is>
      </c>
      <c r="B46" s="664" t="n"/>
      <c r="C46" s="664" t="n"/>
      <c r="D46" s="664" t="n"/>
      <c r="E46" s="665" t="n"/>
      <c r="F46" s="670" t="inlineStr">
        <is>
          <t>WORN OUT</t>
        </is>
      </c>
      <c r="G46" s="664" t="n"/>
      <c r="H46" s="665" t="n"/>
      <c r="I46" s="670" t="inlineStr">
        <is>
          <t>TO LAPPED</t>
        </is>
      </c>
      <c r="J46" s="664" t="n"/>
      <c r="K46" s="664" t="n"/>
      <c r="L46" s="664" t="n"/>
      <c r="M46" s="665" t="n"/>
      <c r="N46" s="670" t="inlineStr">
        <is>
          <t>NEED TO REPLACED</t>
        </is>
      </c>
      <c r="O46" s="664" t="n"/>
      <c r="P46" s="664" t="n"/>
      <c r="Q46" s="664" t="n"/>
      <c r="R46" s="664" t="n"/>
      <c r="S46" s="665" t="n"/>
    </row>
    <row r="47" ht="24" customHeight="1" thickBot="1">
      <c r="A47" s="663" t="inlineStr">
        <is>
          <t>YOKE</t>
        </is>
      </c>
      <c r="B47" s="664" t="n"/>
      <c r="C47" s="664" t="n"/>
      <c r="D47" s="664" t="n"/>
      <c r="E47" s="665" t="n"/>
      <c r="F47" s="670" t="inlineStr">
        <is>
          <t>WORN OUT</t>
        </is>
      </c>
      <c r="G47" s="664" t="n"/>
      <c r="H47" s="665" t="n"/>
      <c r="I47" s="670" t="inlineStr">
        <is>
          <t>TO LAPPED</t>
        </is>
      </c>
      <c r="J47" s="664" t="n"/>
      <c r="K47" s="664" t="n"/>
      <c r="L47" s="664" t="n"/>
      <c r="M47" s="665" t="n"/>
      <c r="N47" s="670" t="inlineStr">
        <is>
          <t>NO SPARE KIT</t>
        </is>
      </c>
      <c r="O47" s="664" t="n"/>
      <c r="P47" s="664" t="n"/>
      <c r="Q47" s="664" t="n"/>
      <c r="R47" s="664" t="n"/>
      <c r="S47" s="665" t="n"/>
    </row>
    <row r="48" ht="24" customHeight="1" thickBot="1">
      <c r="A48" s="663" t="inlineStr">
        <is>
          <t>DISC</t>
        </is>
      </c>
      <c r="B48" s="664" t="n"/>
      <c r="C48" s="664" t="n"/>
      <c r="D48" s="664" t="n"/>
      <c r="E48" s="665" t="n"/>
      <c r="F48" s="670" t="inlineStr">
        <is>
          <t>LOOSED</t>
        </is>
      </c>
      <c r="G48" s="664" t="n"/>
      <c r="H48" s="665" t="n"/>
      <c r="I48" s="670" t="inlineStr">
        <is>
          <t xml:space="preserve">NOT APPLICABLE </t>
        </is>
      </c>
      <c r="J48" s="664" t="n"/>
      <c r="K48" s="664" t="n"/>
      <c r="L48" s="664" t="n"/>
      <c r="M48" s="665" t="n"/>
      <c r="N48" s="670" t="inlineStr">
        <is>
          <t>NEED TO REPLACED</t>
        </is>
      </c>
      <c r="O48" s="664" t="n"/>
      <c r="P48" s="664" t="n"/>
      <c r="Q48" s="664" t="n"/>
      <c r="R48" s="664" t="n"/>
      <c r="S48" s="665" t="n"/>
    </row>
    <row r="49" ht="24" customHeight="1" thickBot="1">
      <c r="A49" s="663" t="inlineStr">
        <is>
          <t>SEAT</t>
        </is>
      </c>
      <c r="B49" s="664" t="n"/>
      <c r="C49" s="664" t="n"/>
      <c r="D49" s="664" t="n"/>
      <c r="E49" s="665" t="n"/>
      <c r="F49" s="670" t="inlineStr">
        <is>
          <t xml:space="preserve">NOT VISSIBLE </t>
        </is>
      </c>
      <c r="G49" s="664" t="n"/>
      <c r="H49" s="665" t="n"/>
      <c r="I49" s="670" t="inlineStr">
        <is>
          <t xml:space="preserve">CLEANING </t>
        </is>
      </c>
      <c r="J49" s="664" t="n"/>
      <c r="K49" s="664" t="n"/>
      <c r="L49" s="664" t="n"/>
      <c r="M49" s="665" t="n"/>
      <c r="N49" s="670" t="inlineStr">
        <is>
          <t>N/A</t>
        </is>
      </c>
      <c r="O49" s="664" t="n"/>
      <c r="P49" s="664" t="n"/>
      <c r="Q49" s="664" t="n"/>
      <c r="R49" s="664" t="n"/>
      <c r="S49" s="665" t="n"/>
    </row>
    <row r="50" ht="24" customHeight="1" thickBot="1">
      <c r="A50" s="663" t="inlineStr">
        <is>
          <t>BONNET GASKET</t>
        </is>
      </c>
      <c r="B50" s="664" t="n"/>
      <c r="C50" s="664" t="n"/>
      <c r="D50" s="664" t="n"/>
      <c r="E50" s="665" t="n"/>
      <c r="F50" s="670" t="inlineStr">
        <is>
          <t>MAJOR SCRATCH</t>
        </is>
      </c>
      <c r="G50" s="664" t="n"/>
      <c r="H50" s="665" t="n"/>
      <c r="I50" s="670" t="inlineStr">
        <is>
          <t>TO MACHINED</t>
        </is>
      </c>
      <c r="J50" s="664" t="n"/>
      <c r="K50" s="664" t="n"/>
      <c r="L50" s="664" t="n"/>
      <c r="M50" s="665" t="n"/>
      <c r="N50" s="670" t="inlineStr">
        <is>
          <t>N/A</t>
        </is>
      </c>
      <c r="O50" s="664" t="n"/>
      <c r="P50" s="664" t="n"/>
      <c r="Q50" s="664" t="n"/>
      <c r="R50" s="664" t="n"/>
      <c r="S50" s="665" t="n"/>
    </row>
    <row r="51" ht="24" customHeight="1" thickBot="1">
      <c r="A51" s="663" t="inlineStr">
        <is>
          <t>STEM</t>
        </is>
      </c>
      <c r="B51" s="664" t="n"/>
      <c r="C51" s="664" t="n"/>
      <c r="D51" s="664" t="n"/>
      <c r="E51" s="665" t="n"/>
      <c r="F51" s="670" t="inlineStr">
        <is>
          <t>LOOSED</t>
        </is>
      </c>
      <c r="G51" s="664" t="n"/>
      <c r="H51" s="665" t="n"/>
      <c r="I51" s="670" t="inlineStr">
        <is>
          <t>TO BUILD UP &amp; MACHINE</t>
        </is>
      </c>
      <c r="J51" s="664" t="n"/>
      <c r="K51" s="664" t="n"/>
      <c r="L51" s="664" t="n"/>
      <c r="M51" s="665" t="n"/>
      <c r="N51" s="670" t="inlineStr">
        <is>
          <t>BADLY DAMAGED</t>
        </is>
      </c>
      <c r="O51" s="664" t="n"/>
      <c r="P51" s="664" t="n"/>
      <c r="Q51" s="664" t="n"/>
      <c r="R51" s="664" t="n"/>
      <c r="S51" s="665" t="n"/>
    </row>
    <row r="52" ht="24" customHeight="1" thickBot="1">
      <c r="A52" s="663" t="inlineStr">
        <is>
          <t>WHEEL NUT</t>
        </is>
      </c>
      <c r="B52" s="664" t="n"/>
      <c r="C52" s="664" t="n"/>
      <c r="D52" s="664" t="n"/>
      <c r="E52" s="665" t="n"/>
      <c r="F52" s="670" t="inlineStr">
        <is>
          <t>WORN OUT</t>
        </is>
      </c>
      <c r="G52" s="664" t="n"/>
      <c r="H52" s="665" t="n"/>
      <c r="I52" s="670" t="inlineStr">
        <is>
          <t>TO MACHINED</t>
        </is>
      </c>
      <c r="J52" s="664" t="n"/>
      <c r="K52" s="664" t="n"/>
      <c r="L52" s="664" t="n"/>
      <c r="M52" s="665" t="n"/>
      <c r="N52" s="670" t="inlineStr">
        <is>
          <t>N/A</t>
        </is>
      </c>
      <c r="O52" s="664" t="n"/>
      <c r="P52" s="664" t="n"/>
      <c r="Q52" s="664" t="n"/>
      <c r="R52" s="664" t="n"/>
      <c r="S52" s="665" t="n"/>
    </row>
    <row r="53" ht="24" customHeight="1" thickBot="1">
      <c r="A53" s="663" t="inlineStr">
        <is>
          <t>PACKING</t>
        </is>
      </c>
      <c r="B53" s="664" t="n"/>
      <c r="C53" s="664" t="n"/>
      <c r="D53" s="664" t="n"/>
      <c r="E53" s="665" t="n"/>
      <c r="F53" s="670" t="inlineStr">
        <is>
          <t>MINOR SCRATCH</t>
        </is>
      </c>
      <c r="G53" s="664" t="n"/>
      <c r="H53" s="665" t="n"/>
      <c r="I53" s="670" t="inlineStr">
        <is>
          <t>TO REPLACE NEW</t>
        </is>
      </c>
      <c r="J53" s="664" t="n"/>
      <c r="K53" s="664" t="n"/>
      <c r="L53" s="664" t="n"/>
      <c r="M53" s="665" t="n"/>
      <c r="N53" s="670" t="inlineStr">
        <is>
          <t>NEED TO REPLACED</t>
        </is>
      </c>
      <c r="O53" s="664" t="n"/>
      <c r="P53" s="664" t="n"/>
      <c r="Q53" s="664" t="n"/>
      <c r="R53" s="664" t="n"/>
      <c r="S53" s="665" t="n"/>
    </row>
    <row r="54" ht="24" customHeight="1" thickBot="1">
      <c r="A54" s="663" t="inlineStr">
        <is>
          <t>GLAND BUSHING</t>
        </is>
      </c>
      <c r="B54" s="664" t="n"/>
      <c r="C54" s="664" t="n"/>
      <c r="D54" s="664" t="n"/>
      <c r="E54" s="665" t="n"/>
      <c r="F54" s="670" t="inlineStr">
        <is>
          <t xml:space="preserve">NOT VISSIBLE </t>
        </is>
      </c>
      <c r="G54" s="664" t="n"/>
      <c r="H54" s="665" t="n"/>
      <c r="I54" s="670" t="inlineStr">
        <is>
          <t>TO LAPPED</t>
        </is>
      </c>
      <c r="J54" s="664" t="n"/>
      <c r="K54" s="664" t="n"/>
      <c r="L54" s="664" t="n"/>
      <c r="M54" s="665" t="n"/>
      <c r="N54" s="670" t="inlineStr">
        <is>
          <t>N/A</t>
        </is>
      </c>
      <c r="O54" s="664" t="n"/>
      <c r="P54" s="664" t="n"/>
      <c r="Q54" s="664" t="n"/>
      <c r="R54" s="664" t="n"/>
      <c r="S54" s="665" t="n"/>
    </row>
    <row r="55" ht="24" customHeight="1" thickBot="1">
      <c r="A55" s="663" t="inlineStr">
        <is>
          <t>BACK SEAT</t>
        </is>
      </c>
      <c r="B55" s="664" t="n"/>
      <c r="C55" s="664" t="n"/>
      <c r="D55" s="664" t="n"/>
      <c r="E55" s="665" t="n"/>
      <c r="F55" s="670" t="inlineStr">
        <is>
          <t>NOT AVAILABLE</t>
        </is>
      </c>
      <c r="G55" s="664" t="n"/>
      <c r="H55" s="665" t="n"/>
      <c r="I55" s="670" t="inlineStr">
        <is>
          <t xml:space="preserve">CLEANING </t>
        </is>
      </c>
      <c r="J55" s="664" t="n"/>
      <c r="K55" s="664" t="n"/>
      <c r="L55" s="664" t="n"/>
      <c r="M55" s="665" t="n"/>
      <c r="N55" s="670" t="inlineStr">
        <is>
          <t>NO SPARE KIT</t>
        </is>
      </c>
      <c r="O55" s="664" t="n"/>
      <c r="P55" s="664" t="n"/>
      <c r="Q55" s="664" t="n"/>
      <c r="R55" s="664" t="n"/>
      <c r="S55" s="665" t="n"/>
    </row>
    <row r="56" ht="24" customHeight="1" thickBot="1">
      <c r="A56" s="663" t="inlineStr">
        <is>
          <t>GLAND NUT</t>
        </is>
      </c>
      <c r="B56" s="664" t="n"/>
      <c r="C56" s="664" t="n"/>
      <c r="D56" s="664" t="n"/>
      <c r="E56" s="665" t="n"/>
      <c r="F56" s="670" t="inlineStr">
        <is>
          <t>LOOSED</t>
        </is>
      </c>
      <c r="G56" s="664" t="n"/>
      <c r="H56" s="665" t="n"/>
      <c r="I56" s="670" t="inlineStr">
        <is>
          <t>TO LAPPED</t>
        </is>
      </c>
      <c r="J56" s="664" t="n"/>
      <c r="K56" s="664" t="n"/>
      <c r="L56" s="664" t="n"/>
      <c r="M56" s="665" t="n"/>
      <c r="N56" s="670" t="inlineStr">
        <is>
          <t>NO SPARE KIT - REUSEABLE</t>
        </is>
      </c>
      <c r="O56" s="664" t="n"/>
      <c r="P56" s="664" t="n"/>
      <c r="Q56" s="664" t="n"/>
      <c r="R56" s="664" t="n"/>
      <c r="S56" s="665" t="n"/>
    </row>
    <row r="57" ht="24" customHeight="1" thickBot="1">
      <c r="A57" s="698" t="n"/>
      <c r="B57" s="664" t="n"/>
      <c r="C57" s="664" t="n"/>
      <c r="D57" s="664" t="n"/>
      <c r="E57" s="665" t="n"/>
      <c r="F57" s="698" t="n"/>
      <c r="G57" s="664" t="n"/>
      <c r="H57" s="665" t="n"/>
      <c r="I57" s="699" t="n"/>
      <c r="J57" s="664" t="n"/>
      <c r="K57" s="664" t="n"/>
      <c r="L57" s="664" t="n"/>
      <c r="M57" s="665" t="n"/>
      <c r="N57" s="699" t="n"/>
      <c r="O57" s="664" t="n"/>
      <c r="P57" s="664" t="n"/>
      <c r="Q57" s="664" t="n"/>
      <c r="R57" s="664" t="n"/>
      <c r="S57" s="665" t="n"/>
    </row>
    <row r="58" ht="24" customHeight="1" thickBot="1">
      <c r="A58" s="698" t="n"/>
      <c r="B58" s="664" t="n"/>
      <c r="C58" s="664" t="n"/>
      <c r="D58" s="664" t="n"/>
      <c r="E58" s="665" t="n"/>
      <c r="F58" s="698" t="n"/>
      <c r="G58" s="664" t="n"/>
      <c r="H58" s="665" t="n"/>
      <c r="I58" s="699" t="n"/>
      <c r="J58" s="664" t="n"/>
      <c r="K58" s="664" t="n"/>
      <c r="L58" s="664" t="n"/>
      <c r="M58" s="665" t="n"/>
      <c r="N58" s="699" t="n"/>
      <c r="O58" s="664" t="n"/>
      <c r="P58" s="664" t="n"/>
      <c r="Q58" s="664" t="n"/>
      <c r="R58" s="664" t="n"/>
      <c r="S58" s="665" t="n"/>
    </row>
    <row r="59" ht="24" customHeight="1" thickBot="1">
      <c r="A59" s="698" t="n"/>
      <c r="B59" s="664" t="n"/>
      <c r="C59" s="664" t="n"/>
      <c r="D59" s="664" t="n"/>
      <c r="E59" s="665" t="n"/>
      <c r="F59" s="698" t="n"/>
      <c r="G59" s="664" t="n"/>
      <c r="H59" s="665" t="n"/>
      <c r="I59" s="699" t="n"/>
      <c r="J59" s="664" t="n"/>
      <c r="K59" s="664" t="n"/>
      <c r="L59" s="664" t="n"/>
      <c r="M59" s="665" t="n"/>
      <c r="N59" s="699" t="n"/>
      <c r="O59" s="664" t="n"/>
      <c r="P59" s="664" t="n"/>
      <c r="Q59" s="664" t="n"/>
      <c r="R59" s="664" t="n"/>
      <c r="S59" s="665" t="n"/>
    </row>
    <row r="60" ht="24" customHeight="1" thickBot="1">
      <c r="A60" s="700" t="n"/>
      <c r="B60" s="701" t="n"/>
      <c r="C60" s="701" t="n"/>
      <c r="D60" s="701" t="n"/>
      <c r="E60" s="702" t="n"/>
      <c r="F60" s="700" t="n"/>
      <c r="G60" s="701" t="n"/>
      <c r="H60" s="702" t="n"/>
      <c r="I60" s="703" t="n"/>
      <c r="J60" s="701" t="n"/>
      <c r="K60" s="701" t="n"/>
      <c r="L60" s="701" t="n"/>
      <c r="M60" s="702" t="n"/>
      <c r="N60" s="703" t="n"/>
      <c r="O60" s="701" t="n"/>
      <c r="P60" s="701" t="n"/>
      <c r="Q60" s="701" t="n"/>
      <c r="R60" s="701" t="n"/>
      <c r="S60" s="702" t="n"/>
    </row>
    <row r="61" ht="22.9" customFormat="1" customHeight="1" s="21">
      <c r="A61" s="704" t="inlineStr">
        <is>
          <t>ADDITIONAL COMMENT</t>
        </is>
      </c>
      <c r="B61" s="705" t="n"/>
      <c r="C61" s="705" t="n"/>
      <c r="D61" s="705" t="n"/>
      <c r="E61" s="705" t="n"/>
      <c r="F61" s="705" t="n"/>
      <c r="G61" s="705" t="n"/>
      <c r="H61" s="705" t="n"/>
      <c r="I61" s="705" t="n"/>
      <c r="J61" s="705" t="n"/>
      <c r="K61" s="705" t="n"/>
      <c r="L61" s="705" t="n"/>
      <c r="M61" s="705" t="n"/>
      <c r="N61" s="705" t="n"/>
      <c r="O61" s="705" t="n"/>
      <c r="P61" s="705" t="n"/>
      <c r="Q61" s="705" t="n"/>
      <c r="R61" s="705" t="n"/>
      <c r="S61" s="706" t="n"/>
    </row>
    <row r="62" ht="23.25" customFormat="1" customHeight="1" s="21">
      <c r="A62" s="19" t="n"/>
      <c r="B62" s="369" t="n"/>
      <c r="C62" s="682" t="n"/>
      <c r="D62" s="682" t="n"/>
      <c r="E62" s="682" t="n"/>
      <c r="F62" s="682" t="n"/>
      <c r="G62" s="682" t="n"/>
      <c r="H62" s="682" t="n"/>
      <c r="I62" s="682" t="n"/>
      <c r="J62" s="682" t="n"/>
      <c r="K62" s="682" t="n"/>
      <c r="L62" s="682" t="n"/>
      <c r="M62" s="682" t="n"/>
      <c r="N62" s="682" t="n"/>
      <c r="O62" s="682" t="n"/>
      <c r="P62" s="682" t="n"/>
      <c r="Q62" s="682" t="n"/>
      <c r="R62" s="682" t="n"/>
      <c r="S62" s="20" t="n"/>
    </row>
    <row r="63" ht="23.25" customFormat="1" customHeight="1" s="21">
      <c r="A63" s="19" t="n"/>
      <c r="B63" s="370" t="n"/>
      <c r="C63" s="687" t="n"/>
      <c r="D63" s="687" t="n"/>
      <c r="E63" s="687" t="n"/>
      <c r="F63" s="687" t="n"/>
      <c r="G63" s="687" t="n"/>
      <c r="H63" s="687" t="n"/>
      <c r="I63" s="687" t="n"/>
      <c r="J63" s="687" t="n"/>
      <c r="K63" s="687" t="n"/>
      <c r="L63" s="687" t="n"/>
      <c r="M63" s="687" t="n"/>
      <c r="N63" s="687" t="n"/>
      <c r="O63" s="687" t="n"/>
      <c r="P63" s="687" t="n"/>
      <c r="Q63" s="687" t="n"/>
      <c r="R63" s="687" t="n"/>
      <c r="S63" s="20" t="n"/>
    </row>
    <row r="64" ht="23.25" customFormat="1" customHeight="1" s="21">
      <c r="A64" s="19" t="n"/>
      <c r="B64" s="370" t="n"/>
      <c r="C64" s="687" t="n"/>
      <c r="D64" s="687" t="n"/>
      <c r="E64" s="687" t="n"/>
      <c r="F64" s="687" t="n"/>
      <c r="G64" s="687" t="n"/>
      <c r="H64" s="687" t="n"/>
      <c r="I64" s="687" t="n"/>
      <c r="J64" s="687" t="n"/>
      <c r="K64" s="687" t="n"/>
      <c r="L64" s="687" t="n"/>
      <c r="M64" s="687" t="n"/>
      <c r="N64" s="687" t="n"/>
      <c r="O64" s="687" t="n"/>
      <c r="P64" s="687" t="n"/>
      <c r="Q64" s="687" t="n"/>
      <c r="R64" s="687" t="n"/>
      <c r="S64" s="20" t="n"/>
    </row>
    <row r="65" ht="23.25" customFormat="1" customHeight="1" s="21">
      <c r="A65" s="19" t="n"/>
      <c r="B65" s="370" t="n"/>
      <c r="C65" s="687" t="n"/>
      <c r="D65" s="687" t="n"/>
      <c r="E65" s="687" t="n"/>
      <c r="F65" s="687" t="n"/>
      <c r="G65" s="687" t="n"/>
      <c r="H65" s="687" t="n"/>
      <c r="I65" s="687" t="n"/>
      <c r="J65" s="687" t="n"/>
      <c r="K65" s="687" t="n"/>
      <c r="L65" s="687" t="n"/>
      <c r="M65" s="687" t="n"/>
      <c r="N65" s="687" t="n"/>
      <c r="O65" s="687" t="n"/>
      <c r="P65" s="687" t="n"/>
      <c r="Q65" s="687" t="n"/>
      <c r="R65" s="687" t="n"/>
      <c r="S65" s="20" t="n"/>
    </row>
    <row r="66" ht="23.25" customFormat="1" customHeight="1" s="21">
      <c r="A66" s="19" t="n"/>
      <c r="B66" s="370" t="n"/>
      <c r="C66" s="687" t="n"/>
      <c r="D66" s="687" t="n"/>
      <c r="E66" s="687" t="n"/>
      <c r="F66" s="687" t="n"/>
      <c r="G66" s="687" t="n"/>
      <c r="H66" s="687" t="n"/>
      <c r="I66" s="687" t="n"/>
      <c r="J66" s="687" t="n"/>
      <c r="K66" s="687" t="n"/>
      <c r="L66" s="687" t="n"/>
      <c r="M66" s="687" t="n"/>
      <c r="N66" s="687" t="n"/>
      <c r="O66" s="687" t="n"/>
      <c r="P66" s="687" t="n"/>
      <c r="Q66" s="687" t="n"/>
      <c r="R66" s="687" t="n"/>
      <c r="S66" s="20" t="n"/>
    </row>
    <row r="67" ht="23.25" customFormat="1" customHeight="1" s="21">
      <c r="A67" s="19" t="n"/>
      <c r="B67" s="370" t="n"/>
      <c r="C67" s="687" t="n"/>
      <c r="D67" s="687" t="n"/>
      <c r="E67" s="687" t="n"/>
      <c r="F67" s="687" t="n"/>
      <c r="G67" s="687" t="n"/>
      <c r="H67" s="687" t="n"/>
      <c r="I67" s="687" t="n"/>
      <c r="J67" s="687" t="n"/>
      <c r="K67" s="687" t="n"/>
      <c r="L67" s="687" t="n"/>
      <c r="M67" s="687" t="n"/>
      <c r="N67" s="687" t="n"/>
      <c r="O67" s="687" t="n"/>
      <c r="P67" s="687" t="n"/>
      <c r="Q67" s="687" t="n"/>
      <c r="R67" s="687" t="n"/>
      <c r="S67" s="20" t="n"/>
    </row>
    <row r="68" ht="24" customFormat="1" customHeight="1" s="21" thickBot="1">
      <c r="A68" s="22" t="n"/>
      <c r="B68" s="23" t="n"/>
      <c r="C68" s="23" t="n"/>
      <c r="D68" s="23" t="n"/>
      <c r="E68" s="23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5" t="n"/>
    </row>
    <row r="69" ht="24" customFormat="1" customHeight="1" s="21" thickBot="1">
      <c r="A69" s="707" t="inlineStr">
        <is>
          <t>DETAILS PICTURE/MAJOR DEFECT</t>
        </is>
      </c>
      <c r="B69" s="678" t="n"/>
      <c r="C69" s="678" t="n"/>
      <c r="D69" s="678" t="n"/>
      <c r="E69" s="678" t="n"/>
      <c r="F69" s="678" t="n"/>
      <c r="G69" s="678" t="n"/>
      <c r="H69" s="678" t="n"/>
      <c r="I69" s="678" t="n"/>
      <c r="J69" s="678" t="n"/>
      <c r="K69" s="678" t="n"/>
      <c r="L69" s="678" t="n"/>
      <c r="M69" s="678" t="n"/>
      <c r="N69" s="678" t="n"/>
      <c r="O69" s="678" t="n"/>
      <c r="P69" s="678" t="n"/>
      <c r="Q69" s="678" t="n"/>
      <c r="R69" s="678" t="n"/>
      <c r="S69" s="679" t="n"/>
    </row>
    <row r="70" ht="24" customFormat="1" customHeight="1" s="21" thickBot="1">
      <c r="A70" s="708" t="inlineStr">
        <is>
          <t xml:space="preserve">ITEM: </t>
        </is>
      </c>
      <c r="B70" s="678" t="n"/>
      <c r="C70" s="678" t="n"/>
      <c r="D70" s="678" t="n"/>
      <c r="E70" s="678" t="n"/>
      <c r="F70" s="678" t="n"/>
      <c r="G70" s="678" t="n"/>
      <c r="H70" s="678" t="n"/>
      <c r="I70" s="679" t="n"/>
      <c r="J70" s="273" t="inlineStr">
        <is>
          <t>FINDING</t>
        </is>
      </c>
      <c r="K70" s="678" t="n"/>
      <c r="L70" s="678" t="n"/>
      <c r="M70" s="678" t="n"/>
      <c r="N70" s="681" t="n"/>
      <c r="O70" s="276" t="inlineStr">
        <is>
          <t>PROPOSED ACTION</t>
        </is>
      </c>
      <c r="P70" s="678" t="n"/>
      <c r="Q70" s="678" t="n"/>
      <c r="R70" s="678" t="n"/>
      <c r="S70" s="681" t="n"/>
    </row>
    <row r="71" ht="25.15" customFormat="1" customHeight="1" s="21">
      <c r="A71" s="26" t="n"/>
      <c r="B71" s="27" t="n"/>
      <c r="C71" s="27" t="n"/>
      <c r="D71" s="27" t="n"/>
      <c r="E71" s="27" t="n"/>
      <c r="F71" s="27" t="n"/>
      <c r="G71" s="27" t="n"/>
      <c r="H71" s="27" t="n"/>
      <c r="I71" s="28" t="n"/>
      <c r="J71" s="709" t="n"/>
      <c r="K71" s="21" t="n"/>
      <c r="L71" s="21" t="n"/>
      <c r="M71" s="21" t="n"/>
      <c r="N71" s="654" t="n"/>
      <c r="O71" s="710" t="n"/>
      <c r="P71" s="705" t="n"/>
      <c r="Q71" s="705" t="n"/>
      <c r="R71" s="705" t="n"/>
      <c r="S71" s="706" t="n"/>
    </row>
    <row r="72" ht="23.25" customFormat="1" customHeight="1" s="21">
      <c r="A72" s="19" t="n"/>
      <c r="B72" s="31" t="n"/>
      <c r="C72" s="31" t="n"/>
      <c r="D72" s="31" t="n"/>
      <c r="E72" s="31" t="n"/>
      <c r="F72" s="31" t="n"/>
      <c r="G72" s="31" t="n"/>
      <c r="H72" s="31" t="n"/>
      <c r="I72" s="32" t="n"/>
      <c r="J72" s="709" t="n"/>
      <c r="K72" s="21" t="n"/>
      <c r="L72" s="21" t="n"/>
      <c r="M72" s="21" t="n"/>
      <c r="N72" s="654" t="n"/>
      <c r="O72" s="709" t="n"/>
      <c r="P72" s="21" t="n"/>
      <c r="Q72" s="21" t="n"/>
      <c r="R72" s="21" t="n"/>
      <c r="S72" s="654" t="n"/>
    </row>
    <row r="73" ht="23.25" customFormat="1" customHeight="1" s="21">
      <c r="A73" s="19" t="n"/>
      <c r="B73" s="31" t="n"/>
      <c r="C73" s="31" t="n"/>
      <c r="D73" s="31" t="n"/>
      <c r="E73" s="31" t="n"/>
      <c r="F73" s="31" t="n"/>
      <c r="G73" s="31" t="n"/>
      <c r="H73" s="31" t="n"/>
      <c r="I73" s="32" t="n"/>
      <c r="J73" s="709" t="n"/>
      <c r="K73" s="21" t="n"/>
      <c r="L73" s="21" t="n"/>
      <c r="M73" s="21" t="n"/>
      <c r="N73" s="654" t="n"/>
      <c r="O73" s="709" t="n"/>
      <c r="P73" s="21" t="n"/>
      <c r="Q73" s="21" t="n"/>
      <c r="R73" s="21" t="n"/>
      <c r="S73" s="654" t="n"/>
    </row>
    <row r="74" ht="23.25" customFormat="1" customHeight="1" s="21">
      <c r="A74" s="19" t="n"/>
      <c r="B74" s="31" t="n"/>
      <c r="C74" s="31" t="n"/>
      <c r="D74" s="31" t="n"/>
      <c r="E74" s="31" t="n"/>
      <c r="F74" s="31" t="n"/>
      <c r="G74" s="31" t="n"/>
      <c r="H74" s="31" t="n"/>
      <c r="I74" s="32" t="n"/>
      <c r="J74" s="709" t="n"/>
      <c r="K74" s="21" t="n"/>
      <c r="L74" s="21" t="n"/>
      <c r="M74" s="21" t="n"/>
      <c r="N74" s="654" t="n"/>
      <c r="O74" s="709" t="n"/>
      <c r="P74" s="21" t="n"/>
      <c r="Q74" s="21" t="n"/>
      <c r="R74" s="21" t="n"/>
      <c r="S74" s="654" t="n"/>
    </row>
    <row r="75" ht="23.25" customFormat="1" customHeight="1" s="21">
      <c r="A75" s="19" t="n"/>
      <c r="B75" s="31" t="n"/>
      <c r="C75" s="31" t="n"/>
      <c r="D75" s="31" t="n"/>
      <c r="E75" s="31" t="n"/>
      <c r="F75" s="31" t="n"/>
      <c r="G75" s="31" t="n"/>
      <c r="H75" s="31" t="n"/>
      <c r="I75" s="32" t="n"/>
      <c r="J75" s="709" t="n"/>
      <c r="K75" s="21" t="n"/>
      <c r="L75" s="21" t="n"/>
      <c r="M75" s="21" t="n"/>
      <c r="N75" s="654" t="n"/>
      <c r="O75" s="709" t="n"/>
      <c r="P75" s="21" t="n"/>
      <c r="Q75" s="21" t="n"/>
      <c r="R75" s="21" t="n"/>
      <c r="S75" s="654" t="n"/>
    </row>
    <row r="76" ht="23.25" customFormat="1" customHeight="1" s="21">
      <c r="A76" s="19" t="n"/>
      <c r="B76" s="31" t="n"/>
      <c r="C76" s="31" t="n"/>
      <c r="D76" s="31" t="n"/>
      <c r="E76" s="31" t="n"/>
      <c r="F76" s="31" t="n"/>
      <c r="G76" s="31" t="n"/>
      <c r="H76" s="31" t="n"/>
      <c r="I76" s="32" t="n"/>
      <c r="J76" s="709" t="n"/>
      <c r="K76" s="21" t="n"/>
      <c r="L76" s="21" t="n"/>
      <c r="M76" s="21" t="n"/>
      <c r="N76" s="654" t="n"/>
      <c r="O76" s="709" t="n"/>
      <c r="P76" s="21" t="n"/>
      <c r="Q76" s="21" t="n"/>
      <c r="R76" s="21" t="n"/>
      <c r="S76" s="654" t="n"/>
    </row>
    <row r="77" ht="23.25" customFormat="1" customHeight="1" s="21">
      <c r="A77" s="19" t="n"/>
      <c r="B77" s="31" t="n"/>
      <c r="C77" s="31" t="n"/>
      <c r="D77" s="31" t="n"/>
      <c r="E77" s="31" t="n"/>
      <c r="F77" s="31" t="n"/>
      <c r="G77" s="31" t="n"/>
      <c r="H77" s="31" t="n"/>
      <c r="I77" s="32" t="n"/>
      <c r="J77" s="709" t="n"/>
      <c r="K77" s="21" t="n"/>
      <c r="L77" s="21" t="n"/>
      <c r="M77" s="21" t="n"/>
      <c r="N77" s="654" t="n"/>
      <c r="O77" s="709" t="n"/>
      <c r="P77" s="21" t="n"/>
      <c r="Q77" s="21" t="n"/>
      <c r="R77" s="21" t="n"/>
      <c r="S77" s="654" t="n"/>
    </row>
    <row r="78" ht="23.25" customFormat="1" customHeight="1" s="21">
      <c r="A78" s="19" t="n"/>
      <c r="B78" s="31" t="n"/>
      <c r="C78" s="31" t="n"/>
      <c r="D78" s="31" t="n"/>
      <c r="E78" s="31" t="n"/>
      <c r="F78" s="31" t="n"/>
      <c r="G78" s="31" t="n"/>
      <c r="H78" s="31" t="n"/>
      <c r="I78" s="32" t="n"/>
      <c r="J78" s="709" t="n"/>
      <c r="K78" s="21" t="n"/>
      <c r="L78" s="21" t="n"/>
      <c r="M78" s="21" t="n"/>
      <c r="N78" s="654" t="n"/>
      <c r="O78" s="709" t="n"/>
      <c r="P78" s="21" t="n"/>
      <c r="Q78" s="21" t="n"/>
      <c r="R78" s="21" t="n"/>
      <c r="S78" s="654" t="n"/>
    </row>
    <row r="79" ht="24" customFormat="1" customHeight="1" s="21" thickBot="1">
      <c r="A79" s="22" t="n"/>
      <c r="B79" s="23" t="n"/>
      <c r="C79" s="23" t="n"/>
      <c r="D79" s="23" t="n"/>
      <c r="E79" s="23" t="n"/>
      <c r="F79" s="23" t="n"/>
      <c r="G79" s="23" t="n"/>
      <c r="H79" s="23" t="n"/>
      <c r="I79" s="33" t="n"/>
      <c r="J79" s="711" t="n"/>
      <c r="K79" s="712" t="n"/>
      <c r="L79" s="712" t="n"/>
      <c r="M79" s="712" t="n"/>
      <c r="N79" s="713" t="n"/>
      <c r="O79" s="711" t="n"/>
      <c r="P79" s="712" t="n"/>
      <c r="Q79" s="712" t="n"/>
      <c r="R79" s="712" t="n"/>
      <c r="S79" s="713" t="n"/>
    </row>
    <row r="80" ht="24" customFormat="1" customHeight="1" s="21" thickBot="1">
      <c r="A80" s="708" t="inlineStr">
        <is>
          <t xml:space="preserve">ITEM: </t>
        </is>
      </c>
      <c r="B80" s="678" t="n"/>
      <c r="C80" s="678" t="n"/>
      <c r="D80" s="678" t="n"/>
      <c r="E80" s="678" t="n"/>
      <c r="F80" s="678" t="n"/>
      <c r="G80" s="678" t="n"/>
      <c r="H80" s="678" t="n"/>
      <c r="I80" s="679" t="n"/>
      <c r="J80" s="280" t="inlineStr">
        <is>
          <t>FINDING</t>
        </is>
      </c>
      <c r="K80" s="705" t="n"/>
      <c r="L80" s="705" t="n"/>
      <c r="M80" s="705" t="n"/>
      <c r="N80" s="714" t="n"/>
      <c r="O80" s="276" t="inlineStr">
        <is>
          <t>PROPOSED ACTION</t>
        </is>
      </c>
      <c r="P80" s="678" t="n"/>
      <c r="Q80" s="678" t="n"/>
      <c r="R80" s="678" t="n"/>
      <c r="S80" s="681" t="n"/>
    </row>
    <row r="81" ht="23.25" customFormat="1" customHeight="1" s="21">
      <c r="A81" s="19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710" t="n"/>
      <c r="K81" s="705" t="n"/>
      <c r="L81" s="705" t="n"/>
      <c r="M81" s="705" t="n"/>
      <c r="N81" s="706" t="n"/>
      <c r="O81" s="710" t="n"/>
      <c r="P81" s="705" t="n"/>
      <c r="Q81" s="705" t="n"/>
      <c r="R81" s="705" t="n"/>
      <c r="S81" s="706" t="n"/>
    </row>
    <row r="82" ht="23.25" customFormat="1" customHeight="1" s="21">
      <c r="A82" s="19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709" t="n"/>
      <c r="K82" s="21" t="n"/>
      <c r="L82" s="21" t="n"/>
      <c r="M82" s="21" t="n"/>
      <c r="N82" s="654" t="n"/>
      <c r="O82" s="709" t="n"/>
      <c r="P82" s="21" t="n"/>
      <c r="Q82" s="21" t="n"/>
      <c r="R82" s="21" t="n"/>
      <c r="S82" s="654" t="n"/>
    </row>
    <row r="83" ht="23.25" customFormat="1" customHeight="1" s="21">
      <c r="A83" s="19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709" t="n"/>
      <c r="K83" s="21" t="n"/>
      <c r="L83" s="21" t="n"/>
      <c r="M83" s="21" t="n"/>
      <c r="N83" s="654" t="n"/>
      <c r="O83" s="709" t="n"/>
      <c r="P83" s="21" t="n"/>
      <c r="Q83" s="21" t="n"/>
      <c r="R83" s="21" t="n"/>
      <c r="S83" s="654" t="n"/>
    </row>
    <row r="84" ht="23.25" customFormat="1" customHeight="1" s="21">
      <c r="A84" s="19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709" t="n"/>
      <c r="K84" s="21" t="n"/>
      <c r="L84" s="21" t="n"/>
      <c r="M84" s="21" t="n"/>
      <c r="N84" s="654" t="n"/>
      <c r="O84" s="709" t="n"/>
      <c r="P84" s="21" t="n"/>
      <c r="Q84" s="21" t="n"/>
      <c r="R84" s="21" t="n"/>
      <c r="S84" s="654" t="n"/>
    </row>
    <row r="85" ht="23.25" customFormat="1" customHeight="1" s="21">
      <c r="A85" s="19" t="n"/>
      <c r="B85" s="31" t="n"/>
      <c r="C85" s="31" t="n"/>
      <c r="D85" s="31" t="n"/>
      <c r="E85" s="31" t="n"/>
      <c r="F85" s="31" t="n"/>
      <c r="G85" s="31" t="n"/>
      <c r="H85" s="31" t="n"/>
      <c r="I85" s="31" t="n"/>
      <c r="J85" s="709" t="n"/>
      <c r="K85" s="21" t="n"/>
      <c r="L85" s="21" t="n"/>
      <c r="M85" s="21" t="n"/>
      <c r="N85" s="654" t="n"/>
      <c r="O85" s="709" t="n"/>
      <c r="P85" s="21" t="n"/>
      <c r="Q85" s="21" t="n"/>
      <c r="R85" s="21" t="n"/>
      <c r="S85" s="654" t="n"/>
    </row>
    <row r="86" ht="23.25" customFormat="1" customHeight="1" s="21">
      <c r="A86" s="19" t="n"/>
      <c r="B86" s="31" t="n"/>
      <c r="C86" s="31" t="n"/>
      <c r="D86" s="31" t="n"/>
      <c r="E86" s="31" t="n"/>
      <c r="F86" s="31" t="n"/>
      <c r="G86" s="31" t="n"/>
      <c r="H86" s="31" t="n"/>
      <c r="I86" s="31" t="n"/>
      <c r="J86" s="709" t="n"/>
      <c r="K86" s="21" t="n"/>
      <c r="L86" s="21" t="n"/>
      <c r="M86" s="21" t="n"/>
      <c r="N86" s="654" t="n"/>
      <c r="O86" s="709" t="n"/>
      <c r="P86" s="21" t="n"/>
      <c r="Q86" s="21" t="n"/>
      <c r="R86" s="21" t="n"/>
      <c r="S86" s="654" t="n"/>
    </row>
    <row r="87" ht="23.25" customFormat="1" customHeight="1" s="21">
      <c r="A87" s="19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709" t="n"/>
      <c r="K87" s="21" t="n"/>
      <c r="L87" s="21" t="n"/>
      <c r="M87" s="21" t="n"/>
      <c r="N87" s="654" t="n"/>
      <c r="O87" s="709" t="n"/>
      <c r="P87" s="21" t="n"/>
      <c r="Q87" s="21" t="n"/>
      <c r="R87" s="21" t="n"/>
      <c r="S87" s="654" t="n"/>
    </row>
    <row r="88" ht="23.25" customFormat="1" customHeight="1" s="21">
      <c r="A88" s="19" t="n"/>
      <c r="B88" s="31" t="n"/>
      <c r="C88" s="31" t="n"/>
      <c r="D88" s="31" t="n"/>
      <c r="E88" s="31" t="n"/>
      <c r="F88" s="31" t="n"/>
      <c r="G88" s="31" t="n"/>
      <c r="H88" s="31" t="n"/>
      <c r="I88" s="31" t="n"/>
      <c r="J88" s="709" t="n"/>
      <c r="K88" s="21" t="n"/>
      <c r="L88" s="21" t="n"/>
      <c r="M88" s="21" t="n"/>
      <c r="N88" s="654" t="n"/>
      <c r="O88" s="709" t="n"/>
      <c r="P88" s="21" t="n"/>
      <c r="Q88" s="21" t="n"/>
      <c r="R88" s="21" t="n"/>
      <c r="S88" s="654" t="n"/>
    </row>
    <row r="89" ht="23.25" customFormat="1" customHeight="1" s="21">
      <c r="A89" s="19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709" t="n"/>
      <c r="K89" s="21" t="n"/>
      <c r="L89" s="21" t="n"/>
      <c r="M89" s="21" t="n"/>
      <c r="N89" s="654" t="n"/>
      <c r="O89" s="709" t="n"/>
      <c r="P89" s="21" t="n"/>
      <c r="Q89" s="21" t="n"/>
      <c r="R89" s="21" t="n"/>
      <c r="S89" s="654" t="n"/>
    </row>
    <row r="90" ht="23.25" customFormat="1" customHeight="1" s="21">
      <c r="A90" s="19" t="n"/>
      <c r="B90" s="31" t="n"/>
      <c r="C90" s="31" t="n"/>
      <c r="D90" s="31" t="n"/>
      <c r="E90" s="31" t="n"/>
      <c r="F90" s="31" t="n"/>
      <c r="G90" s="31" t="n"/>
      <c r="H90" s="31" t="n"/>
      <c r="I90" s="31" t="n"/>
      <c r="J90" s="709" t="n"/>
      <c r="K90" s="21" t="n"/>
      <c r="L90" s="21" t="n"/>
      <c r="M90" s="21" t="n"/>
      <c r="N90" s="654" t="n"/>
      <c r="O90" s="709" t="n"/>
      <c r="P90" s="21" t="n"/>
      <c r="Q90" s="21" t="n"/>
      <c r="R90" s="21" t="n"/>
      <c r="S90" s="654" t="n"/>
    </row>
    <row r="91" ht="23.25" customFormat="1" customHeight="1" s="21">
      <c r="A91" s="19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709" t="n"/>
      <c r="K91" s="21" t="n"/>
      <c r="L91" s="21" t="n"/>
      <c r="M91" s="21" t="n"/>
      <c r="N91" s="654" t="n"/>
      <c r="O91" s="709" t="n"/>
      <c r="P91" s="21" t="n"/>
      <c r="Q91" s="21" t="n"/>
      <c r="R91" s="21" t="n"/>
      <c r="S91" s="654" t="n"/>
    </row>
    <row r="92" ht="24" customFormat="1" customHeight="1" s="21" thickBot="1">
      <c r="A92" s="22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711" t="n"/>
      <c r="K92" s="712" t="n"/>
      <c r="L92" s="712" t="n"/>
      <c r="M92" s="712" t="n"/>
      <c r="N92" s="713" t="n"/>
      <c r="O92" s="711" t="n"/>
      <c r="P92" s="712" t="n"/>
      <c r="Q92" s="712" t="n"/>
      <c r="R92" s="712" t="n"/>
      <c r="S92" s="713" t="n"/>
    </row>
    <row r="93" ht="24" customFormat="1" customHeight="1" s="21" thickBot="1">
      <c r="A93" s="708" t="inlineStr">
        <is>
          <t xml:space="preserve">ITEM: </t>
        </is>
      </c>
      <c r="B93" s="678" t="n"/>
      <c r="C93" s="678" t="n"/>
      <c r="D93" s="678" t="n"/>
      <c r="E93" s="678" t="n"/>
      <c r="F93" s="678" t="n"/>
      <c r="G93" s="678" t="n"/>
      <c r="H93" s="678" t="n"/>
      <c r="I93" s="679" t="n"/>
      <c r="J93" s="273" t="inlineStr">
        <is>
          <t>FINDING</t>
        </is>
      </c>
      <c r="K93" s="678" t="n"/>
      <c r="L93" s="678" t="n"/>
      <c r="M93" s="678" t="n"/>
      <c r="N93" s="681" t="n"/>
      <c r="O93" s="276" t="inlineStr">
        <is>
          <t>PROPOSED ACTION</t>
        </is>
      </c>
      <c r="P93" s="678" t="n"/>
      <c r="Q93" s="678" t="n"/>
      <c r="R93" s="678" t="n"/>
      <c r="S93" s="681" t="n"/>
    </row>
    <row r="94" ht="23.25" customFormat="1" customHeight="1" s="21">
      <c r="A94" s="19" t="n"/>
      <c r="B94" s="31" t="n"/>
      <c r="C94" s="31" t="n"/>
      <c r="D94" s="31" t="n"/>
      <c r="E94" s="31" t="n"/>
      <c r="F94" s="31" t="n"/>
      <c r="G94" s="31" t="n"/>
      <c r="H94" s="31" t="n"/>
      <c r="I94" s="31" t="n"/>
      <c r="J94" s="710" t="n"/>
      <c r="K94" s="705" t="n"/>
      <c r="L94" s="705" t="n"/>
      <c r="M94" s="705" t="n"/>
      <c r="N94" s="706" t="n"/>
      <c r="O94" s="710" t="n"/>
      <c r="P94" s="705" t="n"/>
      <c r="Q94" s="705" t="n"/>
      <c r="R94" s="705" t="n"/>
      <c r="S94" s="706" t="n"/>
    </row>
    <row r="95" ht="23.25" customFormat="1" customHeight="1" s="21">
      <c r="A95" s="19" t="n"/>
      <c r="B95" s="31" t="n"/>
      <c r="C95" s="31" t="n"/>
      <c r="D95" s="31" t="n"/>
      <c r="E95" s="31" t="n"/>
      <c r="F95" s="31" t="n"/>
      <c r="G95" s="31" t="n"/>
      <c r="H95" s="31" t="n"/>
      <c r="I95" s="31" t="n"/>
      <c r="J95" s="709" t="n"/>
      <c r="K95" s="21" t="n"/>
      <c r="L95" s="21" t="n"/>
      <c r="M95" s="21" t="n"/>
      <c r="N95" s="654" t="n"/>
      <c r="O95" s="709" t="n"/>
      <c r="P95" s="21" t="n"/>
      <c r="Q95" s="21" t="n"/>
      <c r="R95" s="21" t="n"/>
      <c r="S95" s="654" t="n"/>
    </row>
    <row r="96" ht="23.25" customFormat="1" customHeight="1" s="21">
      <c r="A96" s="19" t="n"/>
      <c r="B96" s="31" t="n"/>
      <c r="C96" s="31" t="n"/>
      <c r="D96" s="31" t="n"/>
      <c r="E96" s="31" t="n"/>
      <c r="F96" s="31" t="n"/>
      <c r="G96" s="31" t="n"/>
      <c r="H96" s="31" t="n"/>
      <c r="I96" s="31" t="n"/>
      <c r="J96" s="709" t="n"/>
      <c r="K96" s="21" t="n"/>
      <c r="L96" s="21" t="n"/>
      <c r="M96" s="21" t="n"/>
      <c r="N96" s="654" t="n"/>
      <c r="O96" s="709" t="n"/>
      <c r="P96" s="21" t="n"/>
      <c r="Q96" s="21" t="n"/>
      <c r="R96" s="21" t="n"/>
      <c r="S96" s="654" t="n"/>
    </row>
    <row r="97" ht="23.25" customFormat="1" customHeight="1" s="21">
      <c r="A97" s="19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709" t="n"/>
      <c r="K97" s="21" t="n"/>
      <c r="L97" s="21" t="n"/>
      <c r="M97" s="21" t="n"/>
      <c r="N97" s="654" t="n"/>
      <c r="O97" s="709" t="n"/>
      <c r="P97" s="21" t="n"/>
      <c r="Q97" s="21" t="n"/>
      <c r="R97" s="21" t="n"/>
      <c r="S97" s="654" t="n"/>
    </row>
    <row r="98" ht="23.25" customFormat="1" customHeight="1" s="21">
      <c r="A98" s="19" t="n"/>
      <c r="B98" s="31" t="n"/>
      <c r="C98" s="31" t="n"/>
      <c r="D98" s="31" t="n"/>
      <c r="E98" s="31" t="n"/>
      <c r="F98" s="31" t="n"/>
      <c r="G98" s="31" t="n"/>
      <c r="H98" s="31" t="n"/>
      <c r="I98" s="31" t="n"/>
      <c r="J98" s="709" t="n"/>
      <c r="K98" s="21" t="n"/>
      <c r="L98" s="21" t="n"/>
      <c r="M98" s="21" t="n"/>
      <c r="N98" s="654" t="n"/>
      <c r="O98" s="709" t="n"/>
      <c r="P98" s="21" t="n"/>
      <c r="Q98" s="21" t="n"/>
      <c r="R98" s="21" t="n"/>
      <c r="S98" s="654" t="n"/>
    </row>
    <row r="99" ht="23.25" customFormat="1" customHeight="1" s="21">
      <c r="A99" s="19" t="n"/>
      <c r="B99" s="31" t="n"/>
      <c r="C99" s="31" t="n"/>
      <c r="D99" s="31" t="n"/>
      <c r="E99" s="31" t="n"/>
      <c r="F99" s="31" t="n"/>
      <c r="G99" s="31" t="n"/>
      <c r="H99" s="31" t="n"/>
      <c r="I99" s="31" t="n"/>
      <c r="J99" s="709" t="n"/>
      <c r="K99" s="21" t="n"/>
      <c r="L99" s="21" t="n"/>
      <c r="M99" s="21" t="n"/>
      <c r="N99" s="654" t="n"/>
      <c r="O99" s="709" t="n"/>
      <c r="P99" s="21" t="n"/>
      <c r="Q99" s="21" t="n"/>
      <c r="R99" s="21" t="n"/>
      <c r="S99" s="654" t="n"/>
    </row>
    <row r="100" ht="23.25" customFormat="1" customHeight="1" s="21">
      <c r="A100" s="19" t="n"/>
      <c r="B100" s="31" t="n"/>
      <c r="C100" s="31" t="n"/>
      <c r="D100" s="31" t="n"/>
      <c r="E100" s="31" t="n"/>
      <c r="F100" s="31" t="n"/>
      <c r="G100" s="31" t="n"/>
      <c r="H100" s="31" t="n"/>
      <c r="I100" s="31" t="n"/>
      <c r="J100" s="709" t="n"/>
      <c r="K100" s="21" t="n"/>
      <c r="L100" s="21" t="n"/>
      <c r="M100" s="21" t="n"/>
      <c r="N100" s="654" t="n"/>
      <c r="O100" s="709" t="n"/>
      <c r="P100" s="21" t="n"/>
      <c r="Q100" s="21" t="n"/>
      <c r="R100" s="21" t="n"/>
      <c r="S100" s="654" t="n"/>
    </row>
    <row r="101" ht="23.25" customFormat="1" customHeight="1" s="21">
      <c r="A101" s="19" t="n"/>
      <c r="B101" s="31" t="n"/>
      <c r="C101" s="31" t="n"/>
      <c r="D101" s="31" t="n"/>
      <c r="E101" s="31" t="n"/>
      <c r="F101" s="31" t="n"/>
      <c r="G101" s="31" t="n"/>
      <c r="H101" s="31" t="n"/>
      <c r="I101" s="31" t="n"/>
      <c r="J101" s="709" t="n"/>
      <c r="K101" s="21" t="n"/>
      <c r="L101" s="21" t="n"/>
      <c r="M101" s="21" t="n"/>
      <c r="N101" s="654" t="n"/>
      <c r="O101" s="709" t="n"/>
      <c r="P101" s="21" t="n"/>
      <c r="Q101" s="21" t="n"/>
      <c r="R101" s="21" t="n"/>
      <c r="S101" s="654" t="n"/>
    </row>
    <row r="102" ht="23.25" customFormat="1" customHeight="1" s="21">
      <c r="A102" s="19" t="n"/>
      <c r="B102" s="31" t="n"/>
      <c r="C102" s="31" t="n"/>
      <c r="D102" s="31" t="n"/>
      <c r="E102" s="31" t="n"/>
      <c r="F102" s="31" t="n"/>
      <c r="G102" s="31" t="n"/>
      <c r="H102" s="31" t="n"/>
      <c r="I102" s="31" t="n"/>
      <c r="J102" s="709" t="n"/>
      <c r="K102" s="21" t="n"/>
      <c r="L102" s="21" t="n"/>
      <c r="M102" s="21" t="n"/>
      <c r="N102" s="654" t="n"/>
      <c r="O102" s="709" t="n"/>
      <c r="P102" s="21" t="n"/>
      <c r="Q102" s="21" t="n"/>
      <c r="R102" s="21" t="n"/>
      <c r="S102" s="654" t="n"/>
    </row>
    <row r="103" ht="23.25" customFormat="1" customHeight="1" s="21">
      <c r="A103" s="19" t="n"/>
      <c r="B103" s="31" t="n"/>
      <c r="C103" s="31" t="n"/>
      <c r="D103" s="31" t="n"/>
      <c r="E103" s="31" t="n"/>
      <c r="F103" s="31" t="n"/>
      <c r="G103" s="31" t="n"/>
      <c r="H103" s="31" t="n"/>
      <c r="I103" s="31" t="n"/>
      <c r="J103" s="709" t="n"/>
      <c r="K103" s="21" t="n"/>
      <c r="L103" s="21" t="n"/>
      <c r="M103" s="21" t="n"/>
      <c r="N103" s="654" t="n"/>
      <c r="O103" s="709" t="n"/>
      <c r="P103" s="21" t="n"/>
      <c r="Q103" s="21" t="n"/>
      <c r="R103" s="21" t="n"/>
      <c r="S103" s="654" t="n"/>
    </row>
    <row r="104" ht="23.25" customFormat="1" customHeight="1" s="21">
      <c r="A104" s="19" t="n"/>
      <c r="B104" s="31" t="n"/>
      <c r="C104" s="31" t="n"/>
      <c r="D104" s="31" t="n"/>
      <c r="E104" s="31" t="n"/>
      <c r="F104" s="31" t="n"/>
      <c r="G104" s="31" t="n"/>
      <c r="H104" s="31" t="n"/>
      <c r="I104" s="31" t="n"/>
      <c r="J104" s="709" t="n"/>
      <c r="K104" s="21" t="n"/>
      <c r="L104" s="21" t="n"/>
      <c r="M104" s="21" t="n"/>
      <c r="N104" s="654" t="n"/>
      <c r="O104" s="709" t="n"/>
      <c r="P104" s="21" t="n"/>
      <c r="Q104" s="21" t="n"/>
      <c r="R104" s="21" t="n"/>
      <c r="S104" s="654" t="n"/>
    </row>
    <row r="105" ht="24" customFormat="1" customHeight="1" s="21" thickBot="1">
      <c r="A105" s="22" t="n"/>
      <c r="B105" s="23" t="n"/>
      <c r="C105" s="23" t="n"/>
      <c r="D105" s="23" t="n"/>
      <c r="E105" s="23" t="n"/>
      <c r="F105" s="23" t="n"/>
      <c r="G105" s="31" t="n"/>
      <c r="H105" s="31" t="n"/>
      <c r="I105" s="31" t="n"/>
      <c r="J105" s="711" t="n"/>
      <c r="K105" s="712" t="n"/>
      <c r="L105" s="712" t="n"/>
      <c r="M105" s="712" t="n"/>
      <c r="N105" s="713" t="n"/>
      <c r="O105" s="711" t="n"/>
      <c r="P105" s="712" t="n"/>
      <c r="Q105" s="712" t="n"/>
      <c r="R105" s="712" t="n"/>
      <c r="S105" s="713" t="n"/>
    </row>
    <row r="106" ht="16.15" customFormat="1" customHeight="1" s="21">
      <c r="A106" s="715" t="inlineStr">
        <is>
          <t>PREPARED BY</t>
        </is>
      </c>
      <c r="B106" s="705" t="n"/>
      <c r="C106" s="705" t="n"/>
      <c r="D106" s="705" t="n"/>
      <c r="E106" s="705" t="n"/>
      <c r="F106" s="706" t="n"/>
      <c r="G106" s="715" t="inlineStr">
        <is>
          <t>CLIENT REPRESENTATIVE</t>
        </is>
      </c>
      <c r="H106" s="705" t="n"/>
      <c r="I106" s="705" t="n"/>
      <c r="J106" s="705" t="n"/>
      <c r="K106" s="705" t="n"/>
      <c r="L106" s="706" t="n"/>
      <c r="M106" s="715" t="inlineStr">
        <is>
          <t>APPROVED BY</t>
        </is>
      </c>
      <c r="N106" s="705" t="n"/>
      <c r="O106" s="705" t="n"/>
      <c r="P106" s="705" t="n"/>
      <c r="Q106" s="705" t="n"/>
      <c r="R106" s="705" t="n"/>
      <c r="S106" s="706" t="n"/>
    </row>
    <row r="107" ht="16.9" customFormat="1" customHeight="1" s="21" thickBot="1">
      <c r="A107" s="716" t="n"/>
      <c r="B107" s="712" t="n"/>
      <c r="C107" s="712" t="n"/>
      <c r="D107" s="712" t="n"/>
      <c r="E107" s="712" t="n"/>
      <c r="F107" s="713" t="n"/>
      <c r="G107" s="716" t="n"/>
      <c r="H107" s="712" t="n"/>
      <c r="I107" s="712" t="n"/>
      <c r="J107" s="712" t="n"/>
      <c r="K107" s="712" t="n"/>
      <c r="L107" s="713" t="n"/>
      <c r="M107" s="716" t="n"/>
      <c r="N107" s="712" t="n"/>
      <c r="O107" s="712" t="n"/>
      <c r="P107" s="712" t="n"/>
      <c r="Q107" s="712" t="n"/>
      <c r="R107" s="712" t="n"/>
      <c r="S107" s="713" t="n"/>
    </row>
    <row r="108" ht="16.15" customFormat="1" customHeight="1" s="21">
      <c r="A108" s="34" t="n"/>
      <c r="B108" s="35" t="n"/>
      <c r="C108" s="35" t="n"/>
      <c r="D108" s="35" t="n"/>
      <c r="E108" s="35" t="n"/>
      <c r="F108" s="35" t="n"/>
      <c r="G108" s="36" t="inlineStr">
        <is>
          <t> </t>
        </is>
      </c>
      <c r="H108" s="37" t="n"/>
      <c r="I108" s="37" t="n"/>
      <c r="J108" s="37" t="n"/>
      <c r="K108" s="37" t="n"/>
      <c r="L108" s="20" t="inlineStr">
        <is>
          <t> </t>
        </is>
      </c>
      <c r="M108" s="381" t="n"/>
      <c r="N108" s="381" t="n"/>
      <c r="O108" s="381" t="n"/>
      <c r="P108" s="381" t="n"/>
      <c r="Q108" s="381" t="n"/>
      <c r="R108" s="381" t="n"/>
      <c r="S108" s="382" t="n"/>
    </row>
    <row r="109" ht="16.15" customFormat="1" customHeight="1" s="21">
      <c r="A109" s="38" t="n"/>
      <c r="B109" s="163" t="n"/>
      <c r="C109" s="163" t="n"/>
      <c r="D109" s="163" t="n"/>
      <c r="E109" s="163" t="n"/>
      <c r="F109" s="163" t="n"/>
      <c r="G109" s="36" t="n"/>
      <c r="H109" s="37" t="n"/>
      <c r="I109" s="37" t="n"/>
      <c r="J109" s="37" t="n"/>
      <c r="K109" s="37" t="n"/>
      <c r="L109" s="20" t="n"/>
      <c r="M109" s="37" t="n"/>
      <c r="N109" s="37" t="n"/>
      <c r="O109" s="37" t="n"/>
      <c r="P109" s="37" t="n"/>
      <c r="Q109" s="37" t="n"/>
      <c r="R109" s="37" t="n"/>
      <c r="S109" s="20" t="n"/>
    </row>
    <row r="110" ht="16.15" customFormat="1" customHeight="1" s="21">
      <c r="A110" s="38" t="n"/>
      <c r="B110" s="163" t="n"/>
      <c r="C110" s="163" t="n"/>
      <c r="D110" s="163" t="n"/>
      <c r="E110" s="163" t="n"/>
      <c r="F110" s="163" t="n"/>
      <c r="G110" s="36" t="n"/>
      <c r="H110" s="37" t="n"/>
      <c r="I110" s="37" t="n"/>
      <c r="J110" s="37" t="n"/>
      <c r="K110" s="37" t="n"/>
      <c r="L110" s="20" t="n"/>
      <c r="M110" s="37" t="n"/>
      <c r="N110" s="37" t="n"/>
      <c r="O110" s="37" t="n"/>
      <c r="P110" s="37" t="n"/>
      <c r="Q110" s="37" t="n"/>
      <c r="R110" s="37" t="n"/>
      <c r="S110" s="20" t="n"/>
    </row>
    <row r="111" ht="22.15" customFormat="1" customHeight="1" s="21">
      <c r="A111" s="128" t="n"/>
      <c r="B111" s="163" t="n"/>
      <c r="C111" s="163" t="n"/>
      <c r="D111" s="163" t="n"/>
      <c r="E111" s="163" t="n"/>
      <c r="F111" s="163" t="n"/>
      <c r="G111" s="36" t="n"/>
      <c r="H111" s="37" t="n"/>
      <c r="I111" s="37" t="n"/>
      <c r="J111" s="37" t="n"/>
      <c r="K111" s="37" t="n"/>
      <c r="L111" s="20" t="n"/>
      <c r="M111" s="37" t="n"/>
      <c r="N111" s="37" t="n"/>
      <c r="O111" s="37" t="n"/>
      <c r="P111" s="37" t="n"/>
      <c r="Q111" s="37" t="n"/>
      <c r="R111" s="37" t="n"/>
      <c r="S111" s="20" t="n"/>
    </row>
    <row r="112" ht="25.15" customFormat="1" customHeight="1" s="21">
      <c r="A112" s="38" t="inlineStr">
        <is>
          <t>NAME:</t>
        </is>
      </c>
      <c r="B112" s="164" t="n"/>
      <c r="C112" s="21" t="n"/>
      <c r="D112" s="21" t="n"/>
      <c r="E112" s="21" t="n"/>
      <c r="F112" s="654" t="n"/>
      <c r="G112" s="38" t="inlineStr">
        <is>
          <t>NAME:</t>
        </is>
      </c>
      <c r="H112" s="37" t="n"/>
      <c r="I112" s="37" t="n"/>
      <c r="J112" s="37" t="n"/>
      <c r="K112" s="37" t="n"/>
      <c r="L112" s="20" t="n"/>
      <c r="M112" s="38" t="inlineStr">
        <is>
          <t>NAME:</t>
        </is>
      </c>
      <c r="N112" s="37" t="n"/>
      <c r="O112" s="37" t="n"/>
      <c r="P112" s="37" t="n"/>
      <c r="Q112" s="37" t="n"/>
      <c r="R112" s="37" t="n"/>
      <c r="S112" s="20" t="n"/>
    </row>
    <row r="113" ht="21" customFormat="1" customHeight="1" s="21">
      <c r="A113" s="38" t="inlineStr">
        <is>
          <t>DATE:</t>
        </is>
      </c>
      <c r="B113" s="653">
        <f>TODAY()</f>
        <v/>
      </c>
      <c r="C113" s="21" t="n"/>
      <c r="D113" s="21" t="n"/>
      <c r="E113" s="21" t="n"/>
      <c r="F113" s="654" t="n"/>
      <c r="G113" s="38" t="inlineStr">
        <is>
          <t>DATE:</t>
        </is>
      </c>
      <c r="H113" s="37" t="n"/>
      <c r="I113" s="37" t="n"/>
      <c r="J113" s="37" t="n"/>
      <c r="K113" s="37" t="n"/>
      <c r="L113" s="20" t="n"/>
      <c r="M113" s="38" t="inlineStr">
        <is>
          <t>DATE:</t>
        </is>
      </c>
      <c r="N113" s="37" t="n"/>
      <c r="O113" s="37" t="n"/>
      <c r="P113" s="37" t="n"/>
      <c r="Q113" s="37" t="n"/>
      <c r="R113" s="37" t="n"/>
      <c r="S113" s="20" t="n"/>
    </row>
    <row r="114" ht="16.9" customFormat="1" customHeight="1" s="21" thickBot="1">
      <c r="A114" s="40" t="n"/>
      <c r="B114" s="41" t="n"/>
      <c r="C114" s="41" t="n"/>
      <c r="D114" s="41" t="n"/>
      <c r="E114" s="41" t="n"/>
      <c r="F114" s="41" t="n"/>
      <c r="G114" s="42" t="n"/>
      <c r="H114" s="24" t="n"/>
      <c r="I114" s="24" t="n"/>
      <c r="J114" s="24" t="n"/>
      <c r="K114" s="24" t="n"/>
      <c r="L114" s="25" t="n"/>
      <c r="M114" s="24" t="n"/>
      <c r="N114" s="24" t="n"/>
      <c r="O114" s="24" t="n"/>
      <c r="P114" s="24" t="n"/>
      <c r="Q114" s="24" t="n"/>
      <c r="R114" s="24" t="n"/>
      <c r="S114" s="25" t="n"/>
    </row>
  </sheetData>
  <mergeCells count="264">
    <mergeCell ref="I30:M30"/>
    <mergeCell ref="A48:E48"/>
    <mergeCell ref="A23:S23"/>
    <mergeCell ref="F33:H33"/>
    <mergeCell ref="F45:H45"/>
    <mergeCell ref="O86:S86"/>
    <mergeCell ref="I46:M46"/>
    <mergeCell ref="D19:H19"/>
    <mergeCell ref="N58:S58"/>
    <mergeCell ref="A45:E45"/>
    <mergeCell ref="K38:N38"/>
    <mergeCell ref="A21:C21"/>
    <mergeCell ref="J88:N88"/>
    <mergeCell ref="J93:N93"/>
    <mergeCell ref="O92:S92"/>
    <mergeCell ref="F47:H47"/>
    <mergeCell ref="O97:S97"/>
    <mergeCell ref="G40:J40"/>
    <mergeCell ref="M19:S19"/>
    <mergeCell ref="J77:N77"/>
    <mergeCell ref="N57:S57"/>
    <mergeCell ref="F31:H31"/>
    <mergeCell ref="I54:M54"/>
    <mergeCell ref="I32:M32"/>
    <mergeCell ref="J99:N99"/>
    <mergeCell ref="A46:E46"/>
    <mergeCell ref="J74:N74"/>
    <mergeCell ref="J83:N83"/>
    <mergeCell ref="N34:S34"/>
    <mergeCell ref="I56:M56"/>
    <mergeCell ref="A38:F38"/>
    <mergeCell ref="J101:N101"/>
    <mergeCell ref="A57:E57"/>
    <mergeCell ref="A26:E26"/>
    <mergeCell ref="A36:S36"/>
    <mergeCell ref="N49:S49"/>
    <mergeCell ref="J103:N103"/>
    <mergeCell ref="N27:S27"/>
    <mergeCell ref="J85:N85"/>
    <mergeCell ref="I24:M24"/>
    <mergeCell ref="I33:M33"/>
    <mergeCell ref="I16:L16"/>
    <mergeCell ref="A69:S69"/>
    <mergeCell ref="J75:N75"/>
    <mergeCell ref="O70:S70"/>
    <mergeCell ref="I18:L18"/>
    <mergeCell ref="A52:E52"/>
    <mergeCell ref="O76:S76"/>
    <mergeCell ref="O91:S91"/>
    <mergeCell ref="O85:S85"/>
    <mergeCell ref="I50:M50"/>
    <mergeCell ref="M21:S21"/>
    <mergeCell ref="R18:S18"/>
    <mergeCell ref="I59:M59"/>
    <mergeCell ref="I60:M60"/>
    <mergeCell ref="I34:M34"/>
    <mergeCell ref="F51:H51"/>
    <mergeCell ref="N46:S46"/>
    <mergeCell ref="A34:E34"/>
    <mergeCell ref="J97:N97"/>
    <mergeCell ref="O101:S101"/>
    <mergeCell ref="K39:N39"/>
    <mergeCell ref="J81:N81"/>
    <mergeCell ref="O77:S77"/>
    <mergeCell ref="F35:H35"/>
    <mergeCell ref="A49:E49"/>
    <mergeCell ref="B62:R62"/>
    <mergeCell ref="F50:H50"/>
    <mergeCell ref="I20:L20"/>
    <mergeCell ref="G106:L107"/>
    <mergeCell ref="N48:S48"/>
    <mergeCell ref="I45:M45"/>
    <mergeCell ref="D15:S15"/>
    <mergeCell ref="K37:N37"/>
    <mergeCell ref="O39:S39"/>
    <mergeCell ref="O83:S83"/>
    <mergeCell ref="A43:S43"/>
    <mergeCell ref="J87:N87"/>
    <mergeCell ref="E22:H22"/>
    <mergeCell ref="A42:F42"/>
    <mergeCell ref="I47:M47"/>
    <mergeCell ref="F27:H27"/>
    <mergeCell ref="O103:S103"/>
    <mergeCell ref="J89:N89"/>
    <mergeCell ref="I28:M28"/>
    <mergeCell ref="O84:S84"/>
    <mergeCell ref="J79:N79"/>
    <mergeCell ref="D17:H17"/>
    <mergeCell ref="O75:S75"/>
    <mergeCell ref="A55:E55"/>
    <mergeCell ref="N24:S24"/>
    <mergeCell ref="F49:H49"/>
    <mergeCell ref="A93:I93"/>
    <mergeCell ref="O80:S80"/>
    <mergeCell ref="O95:S95"/>
    <mergeCell ref="G38:J38"/>
    <mergeCell ref="A32:E32"/>
    <mergeCell ref="N26:S26"/>
    <mergeCell ref="O89:S89"/>
    <mergeCell ref="A15:C15"/>
    <mergeCell ref="O104:S104"/>
    <mergeCell ref="N35:S35"/>
    <mergeCell ref="F29:H29"/>
    <mergeCell ref="K41:N41"/>
    <mergeCell ref="J91:N91"/>
    <mergeCell ref="O79:S79"/>
    <mergeCell ref="F25:H25"/>
    <mergeCell ref="A29:E29"/>
    <mergeCell ref="N25:S25"/>
    <mergeCell ref="B65:R65"/>
    <mergeCell ref="I51:M51"/>
    <mergeCell ref="N51:S51"/>
    <mergeCell ref="O81:S81"/>
    <mergeCell ref="O38:S38"/>
    <mergeCell ref="O90:S90"/>
    <mergeCell ref="A31:E31"/>
    <mergeCell ref="N53:S53"/>
    <mergeCell ref="A58:E58"/>
    <mergeCell ref="F59:H59"/>
    <mergeCell ref="F55:H55"/>
    <mergeCell ref="B63:R63"/>
    <mergeCell ref="F24:H24"/>
    <mergeCell ref="A16:C16"/>
    <mergeCell ref="J92:N92"/>
    <mergeCell ref="O105:S105"/>
    <mergeCell ref="O87:S87"/>
    <mergeCell ref="J22:M22"/>
    <mergeCell ref="I17:L17"/>
    <mergeCell ref="A24:E24"/>
    <mergeCell ref="A106:F107"/>
    <mergeCell ref="A60:E60"/>
    <mergeCell ref="F32:H32"/>
    <mergeCell ref="A80:I80"/>
    <mergeCell ref="A18:C18"/>
    <mergeCell ref="N52:S52"/>
    <mergeCell ref="F26:H26"/>
    <mergeCell ref="I49:M49"/>
    <mergeCell ref="J72:N72"/>
    <mergeCell ref="I27:M27"/>
    <mergeCell ref="B66:R66"/>
    <mergeCell ref="I19:L19"/>
    <mergeCell ref="J84:N84"/>
    <mergeCell ref="J78:N78"/>
    <mergeCell ref="D21:H21"/>
    <mergeCell ref="B39:F39"/>
    <mergeCell ref="N29:S29"/>
    <mergeCell ref="I25:M25"/>
    <mergeCell ref="A25:E25"/>
    <mergeCell ref="D1:S12"/>
    <mergeCell ref="A22:C22"/>
    <mergeCell ref="F58:H58"/>
    <mergeCell ref="J98:N98"/>
    <mergeCell ref="F52:H52"/>
    <mergeCell ref="J80:N80"/>
    <mergeCell ref="O99:S99"/>
    <mergeCell ref="N31:S31"/>
    <mergeCell ref="B67:R67"/>
    <mergeCell ref="I53:M53"/>
    <mergeCell ref="A20:C20"/>
    <mergeCell ref="O93:S93"/>
    <mergeCell ref="J95:N95"/>
    <mergeCell ref="J70:N70"/>
    <mergeCell ref="A50:E50"/>
    <mergeCell ref="P17:Q17"/>
    <mergeCell ref="J104:N104"/>
    <mergeCell ref="F60:H60"/>
    <mergeCell ref="D16:H16"/>
    <mergeCell ref="G39:J39"/>
    <mergeCell ref="A61:S61"/>
    <mergeCell ref="F57:H57"/>
    <mergeCell ref="I55:M55"/>
    <mergeCell ref="A47:E47"/>
    <mergeCell ref="I52:M52"/>
    <mergeCell ref="A13:S14"/>
    <mergeCell ref="F53:H53"/>
    <mergeCell ref="F44:H44"/>
    <mergeCell ref="M20:S20"/>
    <mergeCell ref="R17:S17"/>
    <mergeCell ref="D18:H18"/>
    <mergeCell ref="G37:J37"/>
    <mergeCell ref="O94:S94"/>
    <mergeCell ref="I48:M48"/>
    <mergeCell ref="F34:H34"/>
    <mergeCell ref="N54:S54"/>
    <mergeCell ref="J96:N96"/>
    <mergeCell ref="K40:N40"/>
    <mergeCell ref="N32:S32"/>
    <mergeCell ref="I29:M29"/>
    <mergeCell ref="J90:N90"/>
    <mergeCell ref="O22:R22"/>
    <mergeCell ref="J105:N105"/>
    <mergeCell ref="I21:L21"/>
    <mergeCell ref="A28:E28"/>
    <mergeCell ref="N50:S50"/>
    <mergeCell ref="B64:R64"/>
    <mergeCell ref="O72:S72"/>
    <mergeCell ref="J76:N76"/>
    <mergeCell ref="N56:S56"/>
    <mergeCell ref="A44:E44"/>
    <mergeCell ref="F30:H30"/>
    <mergeCell ref="I31:M31"/>
    <mergeCell ref="O37:S37"/>
    <mergeCell ref="A30:E30"/>
    <mergeCell ref="B113:F113"/>
    <mergeCell ref="J73:N73"/>
    <mergeCell ref="A59:E59"/>
    <mergeCell ref="D20:H20"/>
    <mergeCell ref="O96:S96"/>
    <mergeCell ref="J82:N82"/>
    <mergeCell ref="O78:S78"/>
    <mergeCell ref="N33:S33"/>
    <mergeCell ref="A37:F37"/>
    <mergeCell ref="A51:E51"/>
    <mergeCell ref="O98:S98"/>
    <mergeCell ref="G41:J41"/>
    <mergeCell ref="J102:N102"/>
    <mergeCell ref="I57:M57"/>
    <mergeCell ref="I26:M26"/>
    <mergeCell ref="N44:S44"/>
    <mergeCell ref="F46:H46"/>
    <mergeCell ref="F28:H28"/>
    <mergeCell ref="A54:E54"/>
    <mergeCell ref="N59:S59"/>
    <mergeCell ref="N28:S28"/>
    <mergeCell ref="A17:C17"/>
    <mergeCell ref="F56:H56"/>
    <mergeCell ref="N60:S60"/>
    <mergeCell ref="O88:S88"/>
    <mergeCell ref="F48:H48"/>
    <mergeCell ref="O41:S41"/>
    <mergeCell ref="A56:E56"/>
    <mergeCell ref="A27:E27"/>
    <mergeCell ref="I58:M58"/>
    <mergeCell ref="N30:S30"/>
    <mergeCell ref="G42:S42"/>
    <mergeCell ref="A19:C19"/>
    <mergeCell ref="O74:S74"/>
    <mergeCell ref="J86:N86"/>
    <mergeCell ref="J100:N100"/>
    <mergeCell ref="J94:N94"/>
    <mergeCell ref="B112:F112"/>
    <mergeCell ref="N45:S45"/>
    <mergeCell ref="A33:E33"/>
    <mergeCell ref="O40:S40"/>
    <mergeCell ref="O71:S71"/>
    <mergeCell ref="N55:S55"/>
    <mergeCell ref="B40:F40"/>
    <mergeCell ref="I35:M35"/>
    <mergeCell ref="A53:E53"/>
    <mergeCell ref="N47:S47"/>
    <mergeCell ref="F54:H54"/>
    <mergeCell ref="A35:E35"/>
    <mergeCell ref="I44:M44"/>
    <mergeCell ref="P18:Q18"/>
    <mergeCell ref="M106:S107"/>
    <mergeCell ref="O73:S73"/>
    <mergeCell ref="A1:C12"/>
    <mergeCell ref="O100:S100"/>
    <mergeCell ref="O82:S82"/>
    <mergeCell ref="M16:S16"/>
    <mergeCell ref="A70:I70"/>
    <mergeCell ref="J71:N71"/>
    <mergeCell ref="B41:F41"/>
    <mergeCell ref="O102:S102"/>
  </mergeCells>
  <dataValidations count="15">
    <dataValidation sqref="F27:F35 G27:H33 G35:H35" showDropDown="0" showInputMessage="1" showErrorMessage="1" allowBlank="1" type="list">
      <formula1>"OK, NOT AVAILABLE, NOT VISSIBLE ,  CORRODED &amp; DIRTY, NOT APPLICABLE, IN PLACED, DIRTY, NOT COMPLETED, MISSING, NEW , DENTED"</formula1>
    </dataValidation>
    <dataValidation sqref="F68:H68" showDropDown="0" showInputMessage="1" showErrorMessage="1" allowBlank="1" type="list">
      <formula1>"MISSING, LOOSED, OK, WORN OUT, MINOR SCRATCH, MAJOR SCRATCH, NOT AVAILABLE, NOT VISSIBLE , DIRTY, CORRODED, NOT APPLICABLE, IN PLACED"</formula1>
    </dataValidation>
    <dataValidation sqref="I68:M68" showDropDown="0" showInputMessage="1" showErrorMessage="1" allowBlank="1" type="list">
      <formula1>"SAND DOWN &amp; CLEANING , CLEANING , TO REPLACE NEW, TO MACHINED, TO LAPPED, TO BUILD UP &amp; MACHINE, NOT APPLICABLE"</formula1>
    </dataValidation>
    <dataValidation sqref="N68:R68 S62:S68" showDropDown="0" showInputMessage="1" showErrorMessage="1" allowBlank="1" type="list">
      <formula1>"REUSEABLE, NO SPARE KIT - REUSEABLE, BADLY DAMAGED, NEED TO REPLACED, NO SPARE KIT"</formula1>
    </dataValidation>
    <dataValidation sqref="I25:I35 J25:M33 J35:M35" showDropDown="0" showInputMessage="1" showErrorMessage="1" allowBlank="1" type="list">
      <formula1>"SAND DOWN &amp; CLEANING , CLEANING , TO REPLACE NEW, TO MACHINED, TO LAPPING, TO BUILD UP &amp; MACHINE, N/A, CLEANING &amp; NEW PAINTING, TOUCH UP PAINTING"</formula1>
    </dataValidation>
    <dataValidation sqref="N25:N35 O25:S33 O35:S35" showDropDown="0" showInputMessage="1" showErrorMessage="1" allowBlank="1" type="list">
      <formula1>"REUSEABLE, BADLY DAMAGED, NEED TO REPLACED, NO SPARE KIT, N/A , TO FABRICATE"</formula1>
    </dataValidation>
    <dataValidation sqref="G37" showDropDown="0" showInputMessage="1" showErrorMessage="1" allowBlank="1" type="list">
      <formula1>"HYDROTEST, LEAK TEST, GRAVITY TEST, OTHER"</formula1>
    </dataValidation>
    <dataValidation sqref="O37" showDropDown="0" showInputMessage="1" showErrorMessage="1" allowBlank="1" type="list">
      <formula1>"WATER, NITROGEN, AIR, OTHER"</formula1>
    </dataValidation>
    <dataValidation sqref="O39:O41" showDropDown="0" showInputMessage="1" showErrorMessage="1" allowBlank="1" type="list">
      <formula1>"NO LEAK &amp; ACCEPTED, LEAKED, MINOR LEAKED &amp; ACCEPTED"</formula1>
    </dataValidation>
    <dataValidation sqref="G42:S42" showDropDown="0" showInputMessage="1" showErrorMessage="1" allowBlank="1" type="list">
      <formula1>"API 2000, CLIENT REQUEEST PRESSURE, API 598"</formula1>
    </dataValidation>
    <dataValidation sqref="D22" showDropDown="0" showInputMessage="1" showErrorMessage="1" allowBlank="0" type="list">
      <formula1>"X,0"</formula1>
    </dataValidation>
    <dataValidation sqref="I22 N22 S22" showDropDown="0" showInputMessage="1" showErrorMessage="1" allowBlank="1" type="list">
      <formula1>"X,0"</formula1>
    </dataValidation>
    <dataValidation sqref="I45:I60" showDropDown="0" showInputMessage="1" showErrorMessage="1" allowBlank="1" type="list">
      <formula1>"SAND DOWN &amp; CLEANING , CLEANING , TO REPLACE NEW, TO MACHINED, TO LAPPED, TO BUILD UP &amp; MACHINE, NOT APPLICABLE , "</formula1>
    </dataValidation>
    <dataValidation sqref="N45:S60" showDropDown="0" showInputMessage="1" showErrorMessage="1" allowBlank="1" type="list">
      <formula1>"REUSEABLE, NO SPARE KIT - REUSEABLE, BADLY DAMAGED, NEED TO REPLACED, NO SPARE KIT, N/A"</formula1>
    </dataValidation>
    <dataValidation sqref="F45:H60" showDropDown="0" showInputMessage="1" showErrorMessage="1" allowBlank="1" type="list">
      <formula1>"MISSING, LOOSED, OK, WORN OUT, MINOR SCRATCH, MAJOR SCRATCH, NOT AVAILABLE, NOT VISSIBLE , DIRTY, CORRODED, NOT APPLICABLE, IN PLACED, DENTED, DAMAGED"</formula1>
    </dataValidation>
  </dataValidations>
  <pageMargins left="0.7" right="0.7" top="0.75" bottom="0.75" header="0.3" footer="0.3"/>
  <pageSetup orientation="portrait" paperSize="9" scale="37" fitToHeight="0"/>
  <rowBreaks count="1" manualBreakCount="1">
    <brk id="79" min="0" max="18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117"/>
  <sheetViews>
    <sheetView view="pageBreakPreview" topLeftCell="A7" zoomScale="70" zoomScaleNormal="88" zoomScaleSheetLayoutView="70" workbookViewId="0">
      <selection activeCell="D21" sqref="D21:H21"/>
    </sheetView>
  </sheetViews>
  <sheetFormatPr baseColWidth="8" defaultColWidth="11.25" defaultRowHeight="15.75"/>
  <cols>
    <col width="15.25" customWidth="1" min="14" max="14"/>
  </cols>
  <sheetData>
    <row r="1">
      <c r="A1" s="211" t="n"/>
      <c r="B1" s="139" t="n"/>
      <c r="C1" s="139" t="n"/>
      <c r="D1" s="599" t="inlineStr">
        <is>
          <t>PROVISION FOR MECHANICAL VALVE IN SITU PACKING
REPLACEMENT, MECHANICAL VALVE OVERHAULING, AUTOMATIC
RECIRCULATORY VALVE (ARV) SERVICING, AND MOV’S GEARBOX
SERVICING FOR PCFS TA2025</t>
        </is>
      </c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40" t="n"/>
      <c r="T1">
        <f>'Finding Report'!T1</f>
        <v/>
      </c>
    </row>
    <row r="2">
      <c r="A2" s="127" t="n"/>
      <c r="D2" s="127" t="n"/>
      <c r="S2" s="141" t="n"/>
    </row>
    <row r="3">
      <c r="A3" s="127" t="n"/>
      <c r="D3" s="127" t="n"/>
      <c r="S3" s="141" t="n"/>
    </row>
    <row r="4">
      <c r="A4" s="127" t="n"/>
      <c r="D4" s="127" t="n"/>
      <c r="S4" s="141" t="n"/>
    </row>
    <row r="5">
      <c r="A5" s="127" t="n"/>
      <c r="D5" s="127" t="n"/>
      <c r="S5" s="141" t="n"/>
    </row>
    <row r="6">
      <c r="A6" s="127" t="n"/>
      <c r="D6" s="127" t="n"/>
      <c r="S6" s="141" t="n"/>
    </row>
    <row r="7">
      <c r="A7" s="127" t="n"/>
      <c r="D7" s="127" t="n"/>
      <c r="S7" s="141" t="n"/>
    </row>
    <row r="8">
      <c r="A8" s="127" t="n"/>
      <c r="D8" s="127" t="n"/>
      <c r="S8" s="141" t="n"/>
    </row>
    <row r="9">
      <c r="A9" s="127" t="n"/>
      <c r="D9" s="127" t="n"/>
      <c r="S9" s="141" t="n"/>
    </row>
    <row r="10">
      <c r="A10" s="127" t="n"/>
      <c r="D10" s="127" t="n"/>
      <c r="S10" s="141" t="n"/>
    </row>
    <row r="11">
      <c r="A11" s="127" t="n"/>
      <c r="D11" s="127" t="n"/>
      <c r="S11" s="141" t="n"/>
    </row>
    <row r="12" ht="16.5" customHeight="1" thickBot="1">
      <c r="A12" s="142" t="n"/>
      <c r="B12" s="143" t="n"/>
      <c r="C12" s="143" t="n"/>
      <c r="D12" s="142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43" t="n"/>
      <c r="R12" s="143" t="n"/>
      <c r="S12" s="144" t="n"/>
    </row>
    <row r="13" ht="15.6" customHeight="1">
      <c r="A13" s="600" t="inlineStr">
        <is>
          <t>RECEIVED REPORT</t>
        </is>
      </c>
      <c r="B13" s="601" t="n"/>
      <c r="C13" s="601" t="n"/>
      <c r="D13" s="601" t="n"/>
      <c r="E13" s="601" t="n"/>
      <c r="F13" s="601" t="n"/>
      <c r="G13" s="601" t="n"/>
      <c r="H13" s="601" t="n"/>
      <c r="I13" s="601" t="n"/>
      <c r="J13" s="601" t="n"/>
      <c r="K13" s="601" t="n"/>
      <c r="L13" s="601" t="n"/>
      <c r="M13" s="601" t="n"/>
      <c r="N13" s="601" t="n"/>
      <c r="O13" s="601" t="n"/>
      <c r="P13" s="601" t="n"/>
      <c r="Q13" s="601" t="n"/>
      <c r="R13" s="601" t="n"/>
      <c r="S13" s="602" t="n"/>
    </row>
    <row r="14" ht="16.15" customHeight="1" thickBot="1">
      <c r="A14" s="603" t="n"/>
      <c r="B14" s="604" t="n"/>
      <c r="C14" s="604" t="n"/>
      <c r="D14" s="604" t="n"/>
      <c r="E14" s="604" t="n"/>
      <c r="F14" s="604" t="n"/>
      <c r="G14" s="604" t="n"/>
      <c r="H14" s="604" t="n"/>
      <c r="I14" s="604" t="n"/>
      <c r="J14" s="604" t="n"/>
      <c r="K14" s="604" t="n"/>
      <c r="L14" s="604" t="n"/>
      <c r="M14" s="604" t="n"/>
      <c r="N14" s="604" t="n"/>
      <c r="O14" s="604" t="n"/>
      <c r="P14" s="604" t="n"/>
      <c r="Q14" s="604" t="n"/>
      <c r="R14" s="604" t="n"/>
      <c r="S14" s="605" t="n"/>
    </row>
    <row r="15" ht="24" customHeight="1" thickBot="1">
      <c r="A15" s="606" t="inlineStr">
        <is>
          <t>CLIENT</t>
        </is>
      </c>
      <c r="B15" s="607" t="n"/>
      <c r="C15" s="608" t="n"/>
      <c r="D15" s="606" t="inlineStr">
        <is>
          <t>PETRONAS CHEMICALS FERTILISER SABAH SDN BHD</t>
        </is>
      </c>
      <c r="E15" s="607" t="n"/>
      <c r="F15" s="607" t="n"/>
      <c r="G15" s="607" t="n"/>
      <c r="H15" s="607" t="n"/>
      <c r="I15" s="607" t="n"/>
      <c r="J15" s="607" t="n"/>
      <c r="K15" s="607" t="n"/>
      <c r="L15" s="607" t="n"/>
      <c r="M15" s="607" t="n"/>
      <c r="N15" s="607" t="n"/>
      <c r="O15" s="607" t="n"/>
      <c r="P15" s="607" t="n"/>
      <c r="Q15" s="607" t="n"/>
      <c r="R15" s="607" t="n"/>
      <c r="S15" s="608" t="n"/>
    </row>
    <row r="16" ht="24" customHeight="1" thickBot="1">
      <c r="A16" s="606" t="inlineStr">
        <is>
          <t>PROJECT</t>
        </is>
      </c>
      <c r="B16" s="607" t="n"/>
      <c r="C16" s="608" t="n"/>
      <c r="D16" s="606" t="inlineStr">
        <is>
          <t>VALVE MAINTENANCE/REPAIR</t>
        </is>
      </c>
      <c r="E16" s="607" t="n"/>
      <c r="F16" s="607" t="n"/>
      <c r="G16" s="607" t="n"/>
      <c r="H16" s="608" t="n"/>
      <c r="I16" s="606" t="inlineStr">
        <is>
          <t>DOC NO</t>
        </is>
      </c>
      <c r="J16" s="607" t="n"/>
      <c r="K16" s="607" t="n"/>
      <c r="L16" s="608" t="n"/>
      <c r="M16" s="655">
        <f>VLOOKUP($T1,Summary!$A$2:$AH$376,13,0)</f>
        <v/>
      </c>
      <c r="N16" s="607" t="n"/>
      <c r="O16" s="607" t="n"/>
      <c r="P16" s="607" t="n"/>
      <c r="Q16" s="607" t="n"/>
      <c r="R16" s="607" t="n"/>
      <c r="S16" s="608" t="n"/>
    </row>
    <row r="17" ht="24" customHeight="1" thickBot="1">
      <c r="A17" s="606" t="inlineStr">
        <is>
          <t>LOCATION</t>
        </is>
      </c>
      <c r="B17" s="607" t="n"/>
      <c r="C17" s="608" t="n"/>
      <c r="D17" s="606" t="inlineStr">
        <is>
          <t>SIPITANG SABAH</t>
        </is>
      </c>
      <c r="E17" s="607" t="n"/>
      <c r="F17" s="607" t="n"/>
      <c r="G17" s="607" t="n"/>
      <c r="H17" s="608" t="n"/>
      <c r="I17" s="606" t="inlineStr">
        <is>
          <t>SIZE INLET</t>
        </is>
      </c>
      <c r="J17" s="607" t="n"/>
      <c r="K17" s="607" t="n"/>
      <c r="L17" s="608" t="n"/>
      <c r="M17" s="137">
        <f>VLOOKUP($T$1,Summary!$A$2:$AH$376,22,0)</f>
        <v/>
      </c>
      <c r="N17" s="125" t="inlineStr">
        <is>
          <t>RATING</t>
        </is>
      </c>
      <c r="O17" s="136">
        <f>VLOOKUP($T$1,Summary!$A$2:$AH$376,26,0)</f>
        <v/>
      </c>
      <c r="P17" s="656" t="inlineStr">
        <is>
          <t>INLET TYPE</t>
        </is>
      </c>
      <c r="Q17" s="613" t="n"/>
      <c r="R17" s="657">
        <f>VLOOKUP($T$1,Summary!$A$2:$AH$376,24,0)</f>
        <v/>
      </c>
      <c r="S17" s="613" t="n"/>
    </row>
    <row r="18" ht="24" customHeight="1" thickBot="1">
      <c r="A18" s="606" t="inlineStr">
        <is>
          <t>DATE IN</t>
        </is>
      </c>
      <c r="B18" s="607" t="n"/>
      <c r="C18" s="608" t="n"/>
      <c r="D18" s="658">
        <f>VLOOKUP($T$1,Summary!$A$2:$AH$376,11,0)</f>
        <v/>
      </c>
      <c r="E18" s="607" t="n"/>
      <c r="F18" s="607" t="n"/>
      <c r="G18" s="607" t="n"/>
      <c r="H18" s="608" t="n"/>
      <c r="I18" s="606" t="inlineStr">
        <is>
          <t>SIZE OUTLET</t>
        </is>
      </c>
      <c r="J18" s="607" t="n"/>
      <c r="K18" s="607" t="n"/>
      <c r="L18" s="608" t="n"/>
      <c r="M18" s="137">
        <f>VLOOKUP($T$1,Summary!$A$2:$AH$376,23,0)</f>
        <v/>
      </c>
      <c r="N18" s="125" t="inlineStr">
        <is>
          <t>RATING</t>
        </is>
      </c>
      <c r="O18" s="136">
        <f>VLOOKUP($T$1,Summary!$A$2:$AH$376,27,0)</f>
        <v/>
      </c>
      <c r="P18" s="656" t="inlineStr">
        <is>
          <t>OUTLET TYPE</t>
        </is>
      </c>
      <c r="Q18" s="613" t="n"/>
      <c r="R18" s="657">
        <f>VLOOKUP($T$1,Summary!$A$2:$AH$376,25,0)</f>
        <v/>
      </c>
      <c r="S18" s="613" t="n"/>
    </row>
    <row r="19" ht="24" customHeight="1" thickBot="1">
      <c r="A19" s="606" t="inlineStr">
        <is>
          <t>WO</t>
        </is>
      </c>
      <c r="B19" s="607" t="n"/>
      <c r="C19" s="608" t="n"/>
      <c r="D19" s="659">
        <f>VLOOKUP($T$1,Summary!$A$2:$AH$376,2,0)</f>
        <v/>
      </c>
      <c r="E19" s="607" t="n"/>
      <c r="F19" s="607" t="n"/>
      <c r="G19" s="607" t="n"/>
      <c r="H19" s="608" t="n"/>
      <c r="I19" s="606" t="inlineStr">
        <is>
          <t>MANUFACTURER</t>
        </is>
      </c>
      <c r="J19" s="607" t="n"/>
      <c r="K19" s="607" t="n"/>
      <c r="L19" s="608" t="n"/>
      <c r="M19" s="655">
        <f>VLOOKUP($T$1,Summary!$A$2:$AH$376,6,0)</f>
        <v/>
      </c>
      <c r="N19" s="607" t="n"/>
      <c r="O19" s="607" t="n"/>
      <c r="P19" s="607" t="n"/>
      <c r="Q19" s="607" t="n"/>
      <c r="R19" s="607" t="n"/>
      <c r="S19" s="608" t="n"/>
    </row>
    <row r="20" ht="24" customHeight="1" thickBot="1">
      <c r="A20" s="606" t="inlineStr">
        <is>
          <t>TAG NO</t>
        </is>
      </c>
      <c r="B20" s="607" t="n"/>
      <c r="C20" s="608" t="n"/>
      <c r="D20" s="658">
        <f>VLOOKUP($T$1,Summary!$A$2:$AH$376,9,0)</f>
        <v/>
      </c>
      <c r="E20" s="607" t="n"/>
      <c r="F20" s="607" t="n"/>
      <c r="G20" s="607" t="n"/>
      <c r="H20" s="608" t="n"/>
      <c r="I20" s="606" t="inlineStr">
        <is>
          <t>TYPE OF VALVE</t>
        </is>
      </c>
      <c r="J20" s="607" t="n"/>
      <c r="K20" s="607" t="n"/>
      <c r="L20" s="608" t="n"/>
      <c r="M20" s="655">
        <f>VLOOKUP($T$1,Summary!$A$2:$AH$376,5,0)</f>
        <v/>
      </c>
      <c r="N20" s="607" t="n"/>
      <c r="O20" s="607" t="n"/>
      <c r="P20" s="607" t="n"/>
      <c r="Q20" s="607" t="n"/>
      <c r="R20" s="607" t="n"/>
      <c r="S20" s="608" t="n"/>
    </row>
    <row r="21" ht="24" customHeight="1" thickBot="1">
      <c r="A21" s="606" t="n"/>
      <c r="B21" s="607" t="n"/>
      <c r="C21" s="608" t="n"/>
      <c r="D21" s="617" t="n"/>
      <c r="E21" s="607" t="n"/>
      <c r="F21" s="607" t="n"/>
      <c r="G21" s="607" t="n"/>
      <c r="H21" s="608" t="n"/>
      <c r="I21" s="660" t="inlineStr">
        <is>
          <t>VALVE OPERATED TYPE</t>
        </is>
      </c>
      <c r="J21" s="619" t="n"/>
      <c r="K21" s="619" t="n"/>
      <c r="L21" s="620" t="n"/>
      <c r="M21" s="655">
        <f>VLOOKUP($T$1,Summary!$A$2:$AH$376,7,0)</f>
        <v/>
      </c>
      <c r="N21" s="607" t="n"/>
      <c r="O21" s="607" t="n"/>
      <c r="P21" s="607" t="n"/>
      <c r="Q21" s="607" t="n"/>
      <c r="R21" s="607" t="n"/>
      <c r="S21" s="608" t="n"/>
    </row>
    <row r="22" ht="24" customHeight="1" thickBot="1">
      <c r="A22" s="222" t="inlineStr">
        <is>
          <t>INSITU TESTING</t>
        </is>
      </c>
      <c r="B22" s="621" t="n"/>
      <c r="C22" s="621" t="n"/>
      <c r="D22" s="15" t="n">
        <v>0</v>
      </c>
      <c r="E22" s="622" t="inlineStr">
        <is>
          <t>SERVICE &amp; REPAIR</t>
        </is>
      </c>
      <c r="F22" s="621" t="n"/>
      <c r="G22" s="621" t="n"/>
      <c r="H22" s="613" t="n"/>
      <c r="I22" s="15" t="n">
        <v>0</v>
      </c>
      <c r="J22" s="216" t="inlineStr">
        <is>
          <t>TESTING ONLY</t>
        </is>
      </c>
      <c r="K22" s="621" t="n"/>
      <c r="L22" s="621" t="n"/>
      <c r="M22" s="621" t="n"/>
      <c r="N22" s="15" t="n"/>
      <c r="O22" s="622" t="inlineStr">
        <is>
          <t xml:space="preserve">   REPLACE NEW VALVE</t>
        </is>
      </c>
      <c r="P22" s="621" t="n"/>
      <c r="Q22" s="621" t="n"/>
      <c r="R22" s="613" t="n"/>
      <c r="S22" s="16" t="n">
        <v>0</v>
      </c>
    </row>
    <row r="23" ht="24" customHeight="1" thickBot="1">
      <c r="A23" s="707" t="inlineStr">
        <is>
          <t>AS RECEIVED VISUAL INSPECTION</t>
        </is>
      </c>
      <c r="B23" s="678" t="n"/>
      <c r="C23" s="678" t="n"/>
      <c r="D23" s="678" t="n"/>
      <c r="E23" s="678" t="n"/>
      <c r="F23" s="678" t="n"/>
      <c r="G23" s="678" t="n"/>
      <c r="H23" s="678" t="n"/>
      <c r="I23" s="678" t="n"/>
      <c r="J23" s="678" t="n"/>
      <c r="K23" s="678" t="n"/>
      <c r="L23" s="678" t="n"/>
      <c r="M23" s="678" t="n"/>
      <c r="N23" s="678" t="n"/>
      <c r="O23" s="678" t="n"/>
      <c r="P23" s="678" t="n"/>
      <c r="Q23" s="678" t="n"/>
      <c r="R23" s="678" t="n"/>
      <c r="S23" s="679" t="n"/>
    </row>
    <row r="24" ht="24" customHeight="1" thickBot="1">
      <c r="A24" s="661" t="inlineStr">
        <is>
          <t>DESCRIPTION</t>
        </is>
      </c>
      <c r="B24" s="604" t="n"/>
      <c r="C24" s="604" t="n"/>
      <c r="D24" s="604" t="n"/>
      <c r="E24" s="605" t="n"/>
      <c r="F24" s="662" t="inlineStr">
        <is>
          <t>CONDITION</t>
        </is>
      </c>
      <c r="G24" s="604" t="n"/>
      <c r="H24" s="605" t="n"/>
      <c r="I24" s="662" t="inlineStr">
        <is>
          <t xml:space="preserve">            ACTION</t>
        </is>
      </c>
      <c r="J24" s="604" t="n"/>
      <c r="K24" s="604" t="n"/>
      <c r="L24" s="604" t="n"/>
      <c r="M24" s="605" t="n"/>
      <c r="N24" s="717" t="inlineStr">
        <is>
          <t>REMARK</t>
        </is>
      </c>
      <c r="O24" s="718" t="n"/>
      <c r="P24" s="718" t="n"/>
      <c r="Q24" s="718" t="n"/>
      <c r="R24" s="718" t="n"/>
      <c r="S24" s="719" t="n"/>
    </row>
    <row r="25" ht="46.9" customHeight="1" thickBot="1">
      <c r="A25" s="606">
        <f>'Finding Report'!A25</f>
        <v/>
      </c>
      <c r="B25" s="607" t="n"/>
      <c r="C25" s="607" t="n"/>
      <c r="D25" s="607" t="n"/>
      <c r="E25" s="608" t="n"/>
      <c r="F25" s="720">
        <f>'Received Report'!F43</f>
        <v/>
      </c>
      <c r="G25" s="607" t="n"/>
      <c r="H25" s="608" t="n"/>
      <c r="I25" s="721">
        <f>'Finding Report'!I25</f>
        <v/>
      </c>
      <c r="J25" s="607" t="n"/>
      <c r="K25" s="607" t="n"/>
      <c r="L25" s="607" t="n"/>
      <c r="M25" s="608" t="n"/>
      <c r="N25" s="668" t="inlineStr">
        <is>
          <t>SERVICED &amp; CLEANED</t>
        </is>
      </c>
      <c r="O25" s="664" t="n"/>
      <c r="P25" s="664" t="n"/>
      <c r="Q25" s="664" t="n"/>
      <c r="R25" s="664" t="n"/>
      <c r="S25" s="665" t="n"/>
    </row>
    <row r="26" ht="25.15" customHeight="1" thickBot="1">
      <c r="A26" s="606">
        <f>'Finding Report'!A26</f>
        <v/>
      </c>
      <c r="B26" s="607" t="n"/>
      <c r="C26" s="607" t="n"/>
      <c r="D26" s="607" t="n"/>
      <c r="E26" s="608" t="n"/>
      <c r="F26" s="720">
        <f>'Received Report'!F44</f>
        <v/>
      </c>
      <c r="G26" s="607" t="n"/>
      <c r="H26" s="608" t="n"/>
      <c r="I26" s="721">
        <f>'Finding Report'!I26</f>
        <v/>
      </c>
      <c r="J26" s="607" t="n"/>
      <c r="K26" s="607" t="n"/>
      <c r="L26" s="607" t="n"/>
      <c r="M26" s="608" t="n"/>
      <c r="N26" s="668" t="inlineStr">
        <is>
          <t>N/A</t>
        </is>
      </c>
      <c r="O26" s="664" t="n"/>
      <c r="P26" s="664" t="n"/>
      <c r="Q26" s="664" t="n"/>
      <c r="R26" s="664" t="n"/>
      <c r="S26" s="665" t="n"/>
    </row>
    <row r="27" ht="49.15" customHeight="1" thickBot="1">
      <c r="A27" s="606">
        <f>'Finding Report'!A27</f>
        <v/>
      </c>
      <c r="B27" s="607" t="n"/>
      <c r="C27" s="607" t="n"/>
      <c r="D27" s="607" t="n"/>
      <c r="E27" s="608" t="n"/>
      <c r="F27" s="720">
        <f>'Finding Report'!F27</f>
        <v/>
      </c>
      <c r="G27" s="607" t="n"/>
      <c r="H27" s="608" t="n"/>
      <c r="I27" s="721">
        <f>'Finding Report'!I27</f>
        <v/>
      </c>
      <c r="J27" s="607" t="n"/>
      <c r="K27" s="607" t="n"/>
      <c r="L27" s="607" t="n"/>
      <c r="M27" s="608" t="n"/>
      <c r="N27" s="668" t="inlineStr">
        <is>
          <t>SERVICED &amp; CLEANED</t>
        </is>
      </c>
      <c r="O27" s="664" t="n"/>
      <c r="P27" s="664" t="n"/>
      <c r="Q27" s="664" t="n"/>
      <c r="R27" s="664" t="n"/>
      <c r="S27" s="665" t="n"/>
    </row>
    <row r="28" ht="25.15" customHeight="1" thickBot="1">
      <c r="A28" s="606">
        <f>'Finding Report'!A28</f>
        <v/>
      </c>
      <c r="B28" s="607" t="n"/>
      <c r="C28" s="607" t="n"/>
      <c r="D28" s="607" t="n"/>
      <c r="E28" s="608" t="n"/>
      <c r="F28" s="720">
        <f>'Finding Report'!F28</f>
        <v/>
      </c>
      <c r="G28" s="607" t="n"/>
      <c r="H28" s="608" t="n"/>
      <c r="I28" s="721">
        <f>'Finding Report'!I28</f>
        <v/>
      </c>
      <c r="J28" s="607" t="n"/>
      <c r="K28" s="607" t="n"/>
      <c r="L28" s="607" t="n"/>
      <c r="M28" s="608" t="n"/>
      <c r="N28" s="668" t="inlineStr">
        <is>
          <t>N/A</t>
        </is>
      </c>
      <c r="O28" s="664" t="n"/>
      <c r="P28" s="664" t="n"/>
      <c r="Q28" s="664" t="n"/>
      <c r="R28" s="664" t="n"/>
      <c r="S28" s="665" t="n"/>
    </row>
    <row r="29" ht="25.15" customHeight="1" thickBot="1">
      <c r="A29" s="606">
        <f>'Finding Report'!A29</f>
        <v/>
      </c>
      <c r="B29" s="607" t="n"/>
      <c r="C29" s="607" t="n"/>
      <c r="D29" s="607" t="n"/>
      <c r="E29" s="608" t="n"/>
      <c r="F29" s="720">
        <f>'Finding Report'!F29</f>
        <v/>
      </c>
      <c r="G29" s="607" t="n"/>
      <c r="H29" s="608" t="n"/>
      <c r="I29" s="721">
        <f>'Finding Report'!I29</f>
        <v/>
      </c>
      <c r="J29" s="607" t="n"/>
      <c r="K29" s="607" t="n"/>
      <c r="L29" s="607" t="n"/>
      <c r="M29" s="608" t="n"/>
      <c r="N29" s="668" t="inlineStr">
        <is>
          <t>SERVICED &amp; CLEANED</t>
        </is>
      </c>
      <c r="O29" s="664" t="n"/>
      <c r="P29" s="664" t="n"/>
      <c r="Q29" s="664" t="n"/>
      <c r="R29" s="664" t="n"/>
      <c r="S29" s="665" t="n"/>
    </row>
    <row r="30" ht="25.15" customHeight="1" thickBot="1">
      <c r="A30" s="606">
        <f>'Finding Report'!A30</f>
        <v/>
      </c>
      <c r="B30" s="607" t="n"/>
      <c r="C30" s="607" t="n"/>
      <c r="D30" s="607" t="n"/>
      <c r="E30" s="608" t="n"/>
      <c r="F30" s="720">
        <f>'Finding Report'!F30</f>
        <v/>
      </c>
      <c r="G30" s="607" t="n"/>
      <c r="H30" s="608" t="n"/>
      <c r="I30" s="721">
        <f>'Finding Report'!I30</f>
        <v/>
      </c>
      <c r="J30" s="607" t="n"/>
      <c r="K30" s="607" t="n"/>
      <c r="L30" s="607" t="n"/>
      <c r="M30" s="608" t="n"/>
      <c r="N30" s="668" t="inlineStr">
        <is>
          <t>N/A</t>
        </is>
      </c>
      <c r="O30" s="664" t="n"/>
      <c r="P30" s="664" t="n"/>
      <c r="Q30" s="664" t="n"/>
      <c r="R30" s="664" t="n"/>
      <c r="S30" s="665" t="n"/>
    </row>
    <row r="31" ht="25.15" customHeight="1" thickBot="1">
      <c r="A31" s="606">
        <f>'Finding Report'!A31</f>
        <v/>
      </c>
      <c r="B31" s="607" t="n"/>
      <c r="C31" s="607" t="n"/>
      <c r="D31" s="607" t="n"/>
      <c r="E31" s="608" t="n"/>
      <c r="F31" s="720">
        <f>'Finding Report'!F31</f>
        <v/>
      </c>
      <c r="G31" s="607" t="n"/>
      <c r="H31" s="608" t="n"/>
      <c r="I31" s="721">
        <f>'Finding Report'!I31</f>
        <v/>
      </c>
      <c r="J31" s="607" t="n"/>
      <c r="K31" s="607" t="n"/>
      <c r="L31" s="607" t="n"/>
      <c r="M31" s="608" t="n"/>
      <c r="N31" s="668" t="inlineStr">
        <is>
          <t>SERVICED &amp; CLEANED</t>
        </is>
      </c>
      <c r="O31" s="664" t="n"/>
      <c r="P31" s="664" t="n"/>
      <c r="Q31" s="664" t="n"/>
      <c r="R31" s="664" t="n"/>
      <c r="S31" s="665" t="n"/>
    </row>
    <row r="32" ht="25.15" customHeight="1" thickBot="1">
      <c r="A32" s="606">
        <f>'Finding Report'!A32</f>
        <v/>
      </c>
      <c r="B32" s="607" t="n"/>
      <c r="C32" s="607" t="n"/>
      <c r="D32" s="607" t="n"/>
      <c r="E32" s="608" t="n"/>
      <c r="F32" s="720">
        <f>'Finding Report'!F32</f>
        <v/>
      </c>
      <c r="G32" s="607" t="n"/>
      <c r="H32" s="608" t="n"/>
      <c r="I32" s="721">
        <f>'Finding Report'!I32</f>
        <v/>
      </c>
      <c r="J32" s="607" t="n"/>
      <c r="K32" s="607" t="n"/>
      <c r="L32" s="607" t="n"/>
      <c r="M32" s="608" t="n"/>
      <c r="N32" s="668" t="inlineStr">
        <is>
          <t>NO SPARE</t>
        </is>
      </c>
      <c r="O32" s="664" t="n"/>
      <c r="P32" s="664" t="n"/>
      <c r="Q32" s="664" t="n"/>
      <c r="R32" s="664" t="n"/>
      <c r="S32" s="665" t="n"/>
    </row>
    <row r="33" ht="25.15" customHeight="1" thickBot="1">
      <c r="A33" s="606">
        <f>'Finding Report'!A33</f>
        <v/>
      </c>
      <c r="B33" s="607" t="n"/>
      <c r="C33" s="607" t="n"/>
      <c r="D33" s="607" t="n"/>
      <c r="E33" s="608" t="n"/>
      <c r="F33" s="720">
        <f>'Finding Report'!F33</f>
        <v/>
      </c>
      <c r="G33" s="607" t="n"/>
      <c r="H33" s="608" t="n"/>
      <c r="I33" s="721">
        <f>'Finding Report'!I33</f>
        <v/>
      </c>
      <c r="J33" s="607" t="n"/>
      <c r="K33" s="607" t="n"/>
      <c r="L33" s="607" t="n"/>
      <c r="M33" s="608" t="n"/>
      <c r="N33" s="668" t="inlineStr">
        <is>
          <t>NO SPARE</t>
        </is>
      </c>
      <c r="O33" s="664" t="n"/>
      <c r="P33" s="664" t="n"/>
      <c r="Q33" s="664" t="n"/>
      <c r="R33" s="664" t="n"/>
      <c r="S33" s="665" t="n"/>
    </row>
    <row r="34" ht="25.15" customHeight="1" thickBot="1">
      <c r="A34" s="606">
        <f>'Finding Report'!A35</f>
        <v/>
      </c>
      <c r="B34" s="607" t="n"/>
      <c r="C34" s="607" t="n"/>
      <c r="D34" s="607" t="n"/>
      <c r="E34" s="608" t="n"/>
      <c r="F34" s="720">
        <f>'Finding Report'!F35</f>
        <v/>
      </c>
      <c r="G34" s="607" t="n"/>
      <c r="H34" s="608" t="n"/>
      <c r="I34" s="721">
        <f>'Finding Report'!I35</f>
        <v/>
      </c>
      <c r="J34" s="607" t="n"/>
      <c r="K34" s="607" t="n"/>
      <c r="L34" s="607" t="n"/>
      <c r="M34" s="608" t="n"/>
      <c r="N34" s="722" t="inlineStr">
        <is>
          <t>SERVICED &amp; CLEANED</t>
        </is>
      </c>
      <c r="O34" s="701" t="n"/>
      <c r="P34" s="701" t="n"/>
      <c r="Q34" s="701" t="n"/>
      <c r="R34" s="701" t="n"/>
      <c r="S34" s="702" t="n"/>
    </row>
    <row r="35" ht="24" customHeight="1" thickBot="1">
      <c r="A35" s="707" t="inlineStr">
        <is>
          <t>INTERNAL PARTS INSPECTION</t>
        </is>
      </c>
      <c r="B35" s="678" t="n"/>
      <c r="C35" s="678" t="n"/>
      <c r="D35" s="678" t="n"/>
      <c r="E35" s="678" t="n"/>
      <c r="F35" s="678" t="n"/>
      <c r="G35" s="678" t="n"/>
      <c r="H35" s="678" t="n"/>
      <c r="I35" s="678" t="n"/>
      <c r="J35" s="678" t="n"/>
      <c r="K35" s="678" t="n"/>
      <c r="L35" s="678" t="n"/>
      <c r="M35" s="678" t="n"/>
      <c r="N35" s="678" t="n"/>
      <c r="O35" s="678" t="n"/>
      <c r="P35" s="678" t="n"/>
      <c r="Q35" s="678" t="n"/>
      <c r="R35" s="678" t="n"/>
      <c r="S35" s="679" t="n"/>
    </row>
    <row r="36" ht="24" customHeight="1" thickBot="1">
      <c r="A36" s="723" t="inlineStr">
        <is>
          <t>DESCRIPTION</t>
        </is>
      </c>
      <c r="B36" s="724" t="n"/>
      <c r="C36" s="724" t="n"/>
      <c r="D36" s="724" t="n"/>
      <c r="E36" s="725" t="n"/>
      <c r="F36" s="726" t="inlineStr">
        <is>
          <t>CONDITION</t>
        </is>
      </c>
      <c r="G36" s="724" t="n"/>
      <c r="H36" s="725" t="n"/>
      <c r="I36" s="726" t="inlineStr">
        <is>
          <t>ACTION</t>
        </is>
      </c>
      <c r="J36" s="724" t="n"/>
      <c r="K36" s="724" t="n"/>
      <c r="L36" s="724" t="n"/>
      <c r="M36" s="725" t="n"/>
      <c r="N36" s="726" t="inlineStr">
        <is>
          <t>REMARK</t>
        </is>
      </c>
      <c r="O36" s="724" t="n"/>
      <c r="P36" s="724" t="n"/>
      <c r="Q36" s="724" t="n"/>
      <c r="R36" s="724" t="n"/>
      <c r="S36" s="725" t="n"/>
    </row>
    <row r="37" ht="24" customHeight="1" thickBot="1">
      <c r="A37" s="606">
        <f>'Finding Report'!A45</f>
        <v/>
      </c>
      <c r="B37" s="607" t="n"/>
      <c r="C37" s="607" t="n"/>
      <c r="D37" s="607" t="n"/>
      <c r="E37" s="608" t="n"/>
      <c r="F37" s="720">
        <f>'Finding Report'!F45</f>
        <v/>
      </c>
      <c r="G37" s="607" t="n"/>
      <c r="H37" s="608" t="n"/>
      <c r="I37" s="720">
        <f>'Finding Report'!I45</f>
        <v/>
      </c>
      <c r="J37" s="607" t="n"/>
      <c r="K37" s="607" t="n"/>
      <c r="L37" s="607" t="n"/>
      <c r="M37" s="608" t="n"/>
      <c r="N37" s="668" t="inlineStr">
        <is>
          <t>N/A</t>
        </is>
      </c>
      <c r="O37" s="664" t="n"/>
      <c r="P37" s="664" t="n"/>
      <c r="Q37" s="664" t="n"/>
      <c r="R37" s="664" t="n"/>
      <c r="S37" s="665" t="n"/>
    </row>
    <row r="38" ht="24" customHeight="1" thickBot="1">
      <c r="A38" s="606">
        <f>'Finding Report'!A46</f>
        <v/>
      </c>
      <c r="B38" s="607" t="n"/>
      <c r="C38" s="607" t="n"/>
      <c r="D38" s="607" t="n"/>
      <c r="E38" s="608" t="n"/>
      <c r="F38" s="720">
        <f>'Finding Report'!F46</f>
        <v/>
      </c>
      <c r="G38" s="607" t="n"/>
      <c r="H38" s="608" t="n"/>
      <c r="I38" s="720">
        <f>'Finding Report'!I46</f>
        <v/>
      </c>
      <c r="J38" s="607" t="n"/>
      <c r="K38" s="607" t="n"/>
      <c r="L38" s="607" t="n"/>
      <c r="M38" s="608" t="n"/>
      <c r="N38" s="668" t="inlineStr">
        <is>
          <t>SERVICED &amp; CLEANED</t>
        </is>
      </c>
      <c r="O38" s="664" t="n"/>
      <c r="P38" s="664" t="n"/>
      <c r="Q38" s="664" t="n"/>
      <c r="R38" s="664" t="n"/>
      <c r="S38" s="665" t="n"/>
    </row>
    <row r="39" ht="24" customHeight="1" thickBot="1">
      <c r="A39" s="606">
        <f>'Finding Report'!A47</f>
        <v/>
      </c>
      <c r="B39" s="607" t="n"/>
      <c r="C39" s="607" t="n"/>
      <c r="D39" s="607" t="n"/>
      <c r="E39" s="608" t="n"/>
      <c r="F39" s="720">
        <f>'Finding Report'!F47</f>
        <v/>
      </c>
      <c r="G39" s="607" t="n"/>
      <c r="H39" s="608" t="n"/>
      <c r="I39" s="720">
        <f>'Finding Report'!I47</f>
        <v/>
      </c>
      <c r="J39" s="607" t="n"/>
      <c r="K39" s="607" t="n"/>
      <c r="L39" s="607" t="n"/>
      <c r="M39" s="608" t="n"/>
      <c r="N39" s="668" t="inlineStr">
        <is>
          <t>SERVICED &amp; CLEANED</t>
        </is>
      </c>
      <c r="O39" s="664" t="n"/>
      <c r="P39" s="664" t="n"/>
      <c r="Q39" s="664" t="n"/>
      <c r="R39" s="664" t="n"/>
      <c r="S39" s="665" t="n"/>
    </row>
    <row r="40" ht="24" customHeight="1" thickBot="1">
      <c r="A40" s="606">
        <f>'Finding Report'!A48</f>
        <v/>
      </c>
      <c r="B40" s="607" t="n"/>
      <c r="C40" s="607" t="n"/>
      <c r="D40" s="607" t="n"/>
      <c r="E40" s="608" t="n"/>
      <c r="F40" s="720">
        <f>'Finding Report'!F48</f>
        <v/>
      </c>
      <c r="G40" s="607" t="n"/>
      <c r="H40" s="608" t="n"/>
      <c r="I40" s="720">
        <f>'Finding Report'!I48</f>
        <v/>
      </c>
      <c r="J40" s="607" t="n"/>
      <c r="K40" s="607" t="n"/>
      <c r="L40" s="607" t="n"/>
      <c r="M40" s="608" t="n"/>
      <c r="N40" s="668" t="inlineStr">
        <is>
          <t>SERVICED &amp; CLEANED</t>
        </is>
      </c>
      <c r="O40" s="664" t="n"/>
      <c r="P40" s="664" t="n"/>
      <c r="Q40" s="664" t="n"/>
      <c r="R40" s="664" t="n"/>
      <c r="S40" s="665" t="n"/>
    </row>
    <row r="41" ht="24" customHeight="1" thickBot="1">
      <c r="A41" s="606">
        <f>'Finding Report'!A49</f>
        <v/>
      </c>
      <c r="B41" s="607" t="n"/>
      <c r="C41" s="607" t="n"/>
      <c r="D41" s="607" t="n"/>
      <c r="E41" s="608" t="n"/>
      <c r="F41" s="720">
        <f>'Finding Report'!F49</f>
        <v/>
      </c>
      <c r="G41" s="607" t="n"/>
      <c r="H41" s="608" t="n"/>
      <c r="I41" s="720">
        <f>'Finding Report'!I49</f>
        <v/>
      </c>
      <c r="J41" s="607" t="n"/>
      <c r="K41" s="607" t="n"/>
      <c r="L41" s="607" t="n"/>
      <c r="M41" s="608" t="n"/>
      <c r="N41" s="668" t="inlineStr">
        <is>
          <t>SERVICED &amp; CLEANED</t>
        </is>
      </c>
      <c r="O41" s="664" t="n"/>
      <c r="P41" s="664" t="n"/>
      <c r="Q41" s="664" t="n"/>
      <c r="R41" s="664" t="n"/>
      <c r="S41" s="665" t="n"/>
    </row>
    <row r="42" ht="24" customHeight="1" thickBot="1">
      <c r="A42" s="606">
        <f>'Finding Report'!A50</f>
        <v/>
      </c>
      <c r="B42" s="607" t="n"/>
      <c r="C42" s="607" t="n"/>
      <c r="D42" s="607" t="n"/>
      <c r="E42" s="608" t="n"/>
      <c r="F42" s="720">
        <f>'Finding Report'!F50</f>
        <v/>
      </c>
      <c r="G42" s="607" t="n"/>
      <c r="H42" s="608" t="n"/>
      <c r="I42" s="720">
        <f>'Finding Report'!I50</f>
        <v/>
      </c>
      <c r="J42" s="607" t="n"/>
      <c r="K42" s="607" t="n"/>
      <c r="L42" s="607" t="n"/>
      <c r="M42" s="608" t="n"/>
      <c r="N42" s="668" t="inlineStr">
        <is>
          <t>SERVICED &amp; CLEANED</t>
        </is>
      </c>
      <c r="O42" s="664" t="n"/>
      <c r="P42" s="664" t="n"/>
      <c r="Q42" s="664" t="n"/>
      <c r="R42" s="664" t="n"/>
      <c r="S42" s="665" t="n"/>
    </row>
    <row r="43" ht="24" customHeight="1" thickBot="1">
      <c r="A43" s="606">
        <f>'Finding Report'!A51</f>
        <v/>
      </c>
      <c r="B43" s="607" t="n"/>
      <c r="C43" s="607" t="n"/>
      <c r="D43" s="607" t="n"/>
      <c r="E43" s="608" t="n"/>
      <c r="F43" s="720">
        <f>'Finding Report'!F51</f>
        <v/>
      </c>
      <c r="G43" s="607" t="n"/>
      <c r="H43" s="608" t="n"/>
      <c r="I43" s="720">
        <f>'Finding Report'!I51</f>
        <v/>
      </c>
      <c r="J43" s="607" t="n"/>
      <c r="K43" s="607" t="n"/>
      <c r="L43" s="607" t="n"/>
      <c r="M43" s="608" t="n"/>
      <c r="N43" s="668" t="inlineStr">
        <is>
          <t>SERVICED &amp; CLEANED</t>
        </is>
      </c>
      <c r="O43" s="664" t="n"/>
      <c r="P43" s="664" t="n"/>
      <c r="Q43" s="664" t="n"/>
      <c r="R43" s="664" t="n"/>
      <c r="S43" s="665" t="n"/>
    </row>
    <row r="44" ht="24" customHeight="1" thickBot="1">
      <c r="A44" s="606">
        <f>'Finding Report'!A52</f>
        <v/>
      </c>
      <c r="B44" s="607" t="n"/>
      <c r="C44" s="607" t="n"/>
      <c r="D44" s="607" t="n"/>
      <c r="E44" s="608" t="n"/>
      <c r="F44" s="720">
        <f>'Finding Report'!F52</f>
        <v/>
      </c>
      <c r="G44" s="607" t="n"/>
      <c r="H44" s="608" t="n"/>
      <c r="I44" s="720">
        <f>'Finding Report'!I52</f>
        <v/>
      </c>
      <c r="J44" s="607" t="n"/>
      <c r="K44" s="607" t="n"/>
      <c r="L44" s="607" t="n"/>
      <c r="M44" s="608" t="n"/>
      <c r="N44" s="668" t="inlineStr">
        <is>
          <t>SERVICED &amp; CLEANED</t>
        </is>
      </c>
      <c r="O44" s="664" t="n"/>
      <c r="P44" s="664" t="n"/>
      <c r="Q44" s="664" t="n"/>
      <c r="R44" s="664" t="n"/>
      <c r="S44" s="665" t="n"/>
    </row>
    <row r="45" ht="24" customHeight="1" thickBot="1">
      <c r="A45" s="606">
        <f>'Finding Report'!A53</f>
        <v/>
      </c>
      <c r="B45" s="607" t="n"/>
      <c r="C45" s="607" t="n"/>
      <c r="D45" s="607" t="n"/>
      <c r="E45" s="608" t="n"/>
      <c r="F45" s="720">
        <f>'Finding Report'!F53</f>
        <v/>
      </c>
      <c r="G45" s="607" t="n"/>
      <c r="H45" s="608" t="n"/>
      <c r="I45" s="720">
        <f>'Finding Report'!I53</f>
        <v/>
      </c>
      <c r="J45" s="607" t="n"/>
      <c r="K45" s="607" t="n"/>
      <c r="L45" s="607" t="n"/>
      <c r="M45" s="608" t="n"/>
      <c r="N45" s="668" t="inlineStr">
        <is>
          <t>REUSED</t>
        </is>
      </c>
      <c r="O45" s="664" t="n"/>
      <c r="P45" s="664" t="n"/>
      <c r="Q45" s="664" t="n"/>
      <c r="R45" s="664" t="n"/>
      <c r="S45" s="665" t="n"/>
    </row>
    <row r="46" ht="24" customHeight="1" thickBot="1">
      <c r="A46" s="606">
        <f>'Finding Report'!A54</f>
        <v/>
      </c>
      <c r="B46" s="607" t="n"/>
      <c r="C46" s="607" t="n"/>
      <c r="D46" s="607" t="n"/>
      <c r="E46" s="608" t="n"/>
      <c r="F46" s="720">
        <f>'Finding Report'!F54</f>
        <v/>
      </c>
      <c r="G46" s="607" t="n"/>
      <c r="H46" s="608" t="n"/>
      <c r="I46" s="720">
        <f>'Finding Report'!I54</f>
        <v/>
      </c>
      <c r="J46" s="607" t="n"/>
      <c r="K46" s="607" t="n"/>
      <c r="L46" s="607" t="n"/>
      <c r="M46" s="608" t="n"/>
      <c r="N46" s="668" t="inlineStr">
        <is>
          <t>MACHINED NEW</t>
        </is>
      </c>
      <c r="O46" s="664" t="n"/>
      <c r="P46" s="664" t="n"/>
      <c r="Q46" s="664" t="n"/>
      <c r="R46" s="664" t="n"/>
      <c r="S46" s="665" t="n"/>
    </row>
    <row r="47" ht="24" customHeight="1" thickBot="1">
      <c r="A47" s="606">
        <f>'Finding Report'!A55</f>
        <v/>
      </c>
      <c r="B47" s="607" t="n"/>
      <c r="C47" s="607" t="n"/>
      <c r="D47" s="607" t="n"/>
      <c r="E47" s="608" t="n"/>
      <c r="F47" s="720">
        <f>'Finding Report'!F55</f>
        <v/>
      </c>
      <c r="G47" s="607" t="n"/>
      <c r="H47" s="608" t="n"/>
      <c r="I47" s="720">
        <f>'Finding Report'!I55</f>
        <v/>
      </c>
      <c r="J47" s="607" t="n"/>
      <c r="K47" s="607" t="n"/>
      <c r="L47" s="607" t="n"/>
      <c r="M47" s="608" t="n"/>
      <c r="N47" s="668" t="inlineStr">
        <is>
          <t>SERVICED &amp; CLEANED</t>
        </is>
      </c>
      <c r="O47" s="664" t="n"/>
      <c r="P47" s="664" t="n"/>
      <c r="Q47" s="664" t="n"/>
      <c r="R47" s="664" t="n"/>
      <c r="S47" s="665" t="n"/>
    </row>
    <row r="48" ht="24" customHeight="1" thickBot="1">
      <c r="A48" s="606">
        <f>'Finding Report'!A56</f>
        <v/>
      </c>
      <c r="B48" s="607" t="n"/>
      <c r="C48" s="607" t="n"/>
      <c r="D48" s="607" t="n"/>
      <c r="E48" s="608" t="n"/>
      <c r="F48" s="720">
        <f>'Finding Report'!F56</f>
        <v/>
      </c>
      <c r="G48" s="607" t="n"/>
      <c r="H48" s="608" t="n"/>
      <c r="I48" s="720">
        <f>'Finding Report'!I56</f>
        <v/>
      </c>
      <c r="J48" s="607" t="n"/>
      <c r="K48" s="607" t="n"/>
      <c r="L48" s="607" t="n"/>
      <c r="M48" s="608" t="n"/>
      <c r="N48" s="668" t="inlineStr">
        <is>
          <t>NEW</t>
        </is>
      </c>
      <c r="O48" s="664" t="n"/>
      <c r="P48" s="664" t="n"/>
      <c r="Q48" s="664" t="n"/>
      <c r="R48" s="664" t="n"/>
      <c r="S48" s="665" t="n"/>
    </row>
    <row r="49" ht="24" customHeight="1" thickBot="1">
      <c r="A49" s="727">
        <f>'Finding Report'!A57</f>
        <v/>
      </c>
      <c r="B49" s="607" t="n"/>
      <c r="C49" s="607" t="n"/>
      <c r="D49" s="607" t="n"/>
      <c r="E49" s="608" t="n"/>
      <c r="F49" s="728">
        <f>'Finding Report'!F57</f>
        <v/>
      </c>
      <c r="G49" s="607" t="n"/>
      <c r="H49" s="608" t="n"/>
      <c r="I49" s="728">
        <f>'Finding Report'!I57</f>
        <v/>
      </c>
      <c r="J49" s="607" t="n"/>
      <c r="K49" s="607" t="n"/>
      <c r="L49" s="607" t="n"/>
      <c r="M49" s="608" t="n"/>
      <c r="N49" s="729" t="n"/>
      <c r="O49" s="664" t="n"/>
      <c r="P49" s="664" t="n"/>
      <c r="Q49" s="664" t="n"/>
      <c r="R49" s="664" t="n"/>
      <c r="S49" s="665" t="n"/>
    </row>
    <row r="50" ht="24" customHeight="1" thickBot="1">
      <c r="A50" s="727">
        <f>'Finding Report'!A58</f>
        <v/>
      </c>
      <c r="B50" s="607" t="n"/>
      <c r="C50" s="607" t="n"/>
      <c r="D50" s="607" t="n"/>
      <c r="E50" s="608" t="n"/>
      <c r="F50" s="728">
        <f>'Finding Report'!F58</f>
        <v/>
      </c>
      <c r="G50" s="607" t="n"/>
      <c r="H50" s="608" t="n"/>
      <c r="I50" s="728">
        <f>'Finding Report'!I58</f>
        <v/>
      </c>
      <c r="J50" s="607" t="n"/>
      <c r="K50" s="607" t="n"/>
      <c r="L50" s="607" t="n"/>
      <c r="M50" s="608" t="n"/>
      <c r="N50" s="729" t="n"/>
      <c r="O50" s="664" t="n"/>
      <c r="P50" s="664" t="n"/>
      <c r="Q50" s="664" t="n"/>
      <c r="R50" s="664" t="n"/>
      <c r="S50" s="665" t="n"/>
    </row>
    <row r="51" ht="23.25" customFormat="1" customHeight="1" s="21">
      <c r="A51" s="704" t="inlineStr">
        <is>
          <t>ADDITIONAL COMMENT</t>
        </is>
      </c>
      <c r="B51" s="705" t="n"/>
      <c r="C51" s="705" t="n"/>
      <c r="D51" s="705" t="n"/>
      <c r="E51" s="705" t="n"/>
      <c r="F51" s="705" t="n"/>
      <c r="G51" s="705" t="n"/>
      <c r="H51" s="705" t="n"/>
      <c r="I51" s="705" t="n"/>
      <c r="J51" s="705" t="n"/>
      <c r="K51" s="705" t="n"/>
      <c r="L51" s="705" t="n"/>
      <c r="M51" s="705" t="n"/>
      <c r="N51" s="705" t="n"/>
      <c r="O51" s="705" t="n"/>
      <c r="P51" s="705" t="n"/>
      <c r="Q51" s="705" t="n"/>
      <c r="R51" s="705" t="n"/>
      <c r="S51" s="706" t="n"/>
    </row>
    <row r="52" ht="23.25" customFormat="1" customHeight="1" s="21">
      <c r="A52" s="19" t="n"/>
      <c r="B52" s="369" t="n"/>
      <c r="C52" s="682" t="n"/>
      <c r="D52" s="682" t="n"/>
      <c r="E52" s="682" t="n"/>
      <c r="F52" s="682" t="n"/>
      <c r="G52" s="682" t="n"/>
      <c r="H52" s="682" t="n"/>
      <c r="I52" s="682" t="n"/>
      <c r="J52" s="682" t="n"/>
      <c r="K52" s="682" t="n"/>
      <c r="L52" s="682" t="n"/>
      <c r="M52" s="682" t="n"/>
      <c r="N52" s="682" t="n"/>
      <c r="O52" s="682" t="n"/>
      <c r="P52" s="682" t="n"/>
      <c r="Q52" s="682" t="n"/>
      <c r="R52" s="682" t="n"/>
      <c r="S52" s="20" t="n"/>
    </row>
    <row r="53" ht="23.25" customFormat="1" customHeight="1" s="21">
      <c r="A53" s="19" t="n"/>
      <c r="B53" s="369" t="n"/>
      <c r="C53" s="682" t="n"/>
      <c r="D53" s="682" t="n"/>
      <c r="E53" s="682" t="n"/>
      <c r="F53" s="682" t="n"/>
      <c r="G53" s="682" t="n"/>
      <c r="H53" s="682" t="n"/>
      <c r="I53" s="682" t="n"/>
      <c r="J53" s="682" t="n"/>
      <c r="K53" s="682" t="n"/>
      <c r="L53" s="682" t="n"/>
      <c r="M53" s="682" t="n"/>
      <c r="N53" s="682" t="n"/>
      <c r="O53" s="682" t="n"/>
      <c r="P53" s="682" t="n"/>
      <c r="Q53" s="682" t="n"/>
      <c r="R53" s="682" t="n"/>
      <c r="S53" s="20" t="n"/>
    </row>
    <row r="54" ht="23.25" customFormat="1" customHeight="1" s="21">
      <c r="A54" s="19" t="n"/>
      <c r="B54" s="369" t="n"/>
      <c r="C54" s="682" t="n"/>
      <c r="D54" s="682" t="n"/>
      <c r="E54" s="682" t="n"/>
      <c r="F54" s="682" t="n"/>
      <c r="G54" s="682" t="n"/>
      <c r="H54" s="682" t="n"/>
      <c r="I54" s="682" t="n"/>
      <c r="J54" s="682" t="n"/>
      <c r="K54" s="682" t="n"/>
      <c r="L54" s="682" t="n"/>
      <c r="M54" s="682" t="n"/>
      <c r="N54" s="682" t="n"/>
      <c r="O54" s="682" t="n"/>
      <c r="P54" s="682" t="n"/>
      <c r="Q54" s="682" t="n"/>
      <c r="R54" s="682" t="n"/>
      <c r="S54" s="20" t="n"/>
    </row>
    <row r="55" ht="23.25" customFormat="1" customHeight="1" s="21">
      <c r="A55" s="19" t="n"/>
      <c r="B55" s="369" t="n"/>
      <c r="C55" s="682" t="n"/>
      <c r="D55" s="682" t="n"/>
      <c r="E55" s="682" t="n"/>
      <c r="F55" s="682" t="n"/>
      <c r="G55" s="682" t="n"/>
      <c r="H55" s="682" t="n"/>
      <c r="I55" s="682" t="n"/>
      <c r="J55" s="682" t="n"/>
      <c r="K55" s="682" t="n"/>
      <c r="L55" s="682" t="n"/>
      <c r="M55" s="682" t="n"/>
      <c r="N55" s="682" t="n"/>
      <c r="O55" s="682" t="n"/>
      <c r="P55" s="682" t="n"/>
      <c r="Q55" s="682" t="n"/>
      <c r="R55" s="682" t="n"/>
      <c r="S55" s="20" t="n"/>
    </row>
    <row r="56" ht="24" customFormat="1" customHeight="1" s="21" thickBot="1">
      <c r="A56" s="22" t="n"/>
      <c r="B56" s="23" t="n"/>
      <c r="C56" s="23" t="n"/>
      <c r="D56" s="23" t="n"/>
      <c r="E56" s="23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5" t="n"/>
    </row>
    <row r="57" ht="24" customFormat="1" customHeight="1" s="21" thickBot="1">
      <c r="A57" s="730" t="inlineStr">
        <is>
          <t xml:space="preserve">DETAILS PICTURE OF SERVICED ITEM </t>
        </is>
      </c>
      <c r="B57" s="705" t="n"/>
      <c r="C57" s="705" t="n"/>
      <c r="D57" s="705" t="n"/>
      <c r="E57" s="705" t="n"/>
      <c r="F57" s="705" t="n"/>
      <c r="G57" s="705" t="n"/>
      <c r="H57" s="705" t="n"/>
      <c r="I57" s="705" t="n"/>
      <c r="J57" s="705" t="n"/>
      <c r="K57" s="705" t="n"/>
      <c r="L57" s="705" t="n"/>
      <c r="M57" s="705" t="n"/>
      <c r="N57" s="705" t="n"/>
      <c r="O57" s="705" t="n"/>
      <c r="P57" s="705" t="n"/>
      <c r="Q57" s="705" t="n"/>
      <c r="R57" s="705" t="n"/>
      <c r="S57" s="706" t="n"/>
    </row>
    <row r="58" ht="24" customFormat="1" customHeight="1" s="21" thickBot="1">
      <c r="A58" s="731" t="inlineStr">
        <is>
          <t xml:space="preserve">ITEM: </t>
        </is>
      </c>
      <c r="B58" s="705" t="n"/>
      <c r="C58" s="705" t="n"/>
      <c r="D58" s="705" t="n"/>
      <c r="E58" s="705" t="n"/>
      <c r="F58" s="705" t="n"/>
      <c r="G58" s="705" t="n"/>
      <c r="H58" s="705" t="n"/>
      <c r="I58" s="705" t="n"/>
      <c r="J58" s="705" t="n"/>
      <c r="K58" s="705" t="n"/>
      <c r="L58" s="705" t="n"/>
      <c r="M58" s="705" t="n"/>
      <c r="N58" s="706" t="n"/>
      <c r="O58" s="276" t="inlineStr">
        <is>
          <t>DESCRIPTION OF SERVICES</t>
        </is>
      </c>
      <c r="P58" s="678" t="n"/>
      <c r="Q58" s="678" t="n"/>
      <c r="R58" s="678" t="n"/>
      <c r="S58" s="681" t="n"/>
    </row>
    <row r="59" ht="25.15" customFormat="1" customHeight="1" s="21">
      <c r="A59" s="26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8" t="n"/>
      <c r="O59" s="279" t="n"/>
      <c r="P59" s="705" t="n"/>
      <c r="Q59" s="705" t="n"/>
      <c r="R59" s="705" t="n"/>
      <c r="S59" s="706" t="n"/>
    </row>
    <row r="60" ht="23.25" customFormat="1" customHeight="1" s="21">
      <c r="A60" s="19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2" t="n"/>
      <c r="O60" s="260" t="n"/>
      <c r="P60" s="21" t="n"/>
      <c r="Q60" s="21" t="n"/>
      <c r="R60" s="21" t="n"/>
      <c r="S60" s="654" t="n"/>
    </row>
    <row r="61" ht="23.25" customFormat="1" customHeight="1" s="21">
      <c r="A61" s="19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2" t="n"/>
      <c r="O61" s="260" t="n"/>
      <c r="P61" s="21" t="n"/>
      <c r="Q61" s="21" t="n"/>
      <c r="R61" s="21" t="n"/>
      <c r="S61" s="654" t="n"/>
    </row>
    <row r="62" ht="23.25" customFormat="1" customHeight="1" s="21">
      <c r="A62" s="19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2" t="n"/>
      <c r="O62" s="260" t="n"/>
      <c r="P62" s="21" t="n"/>
      <c r="Q62" s="21" t="n"/>
      <c r="R62" s="21" t="n"/>
      <c r="S62" s="654" t="n"/>
    </row>
    <row r="63" ht="23.25" customFormat="1" customHeight="1" s="21">
      <c r="A63" s="19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2" t="n"/>
      <c r="O63" s="260" t="n"/>
      <c r="P63" s="21" t="n"/>
      <c r="Q63" s="21" t="n"/>
      <c r="R63" s="21" t="n"/>
      <c r="S63" s="654" t="n"/>
    </row>
    <row r="64" ht="23.25" customFormat="1" customHeight="1" s="21">
      <c r="A64" s="19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2" t="n"/>
      <c r="O64" s="260" t="n"/>
      <c r="P64" s="21" t="n"/>
      <c r="Q64" s="21" t="n"/>
      <c r="R64" s="21" t="n"/>
      <c r="S64" s="654" t="n"/>
    </row>
    <row r="65" ht="23.25" customFormat="1" customHeight="1" s="21">
      <c r="A65" s="19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2" t="n"/>
      <c r="O65" s="260" t="n"/>
      <c r="P65" s="21" t="n"/>
      <c r="Q65" s="21" t="n"/>
      <c r="R65" s="21" t="n"/>
      <c r="S65" s="654" t="n"/>
    </row>
    <row r="66" ht="23.25" customFormat="1" customHeight="1" s="21">
      <c r="A66" s="19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2" t="n"/>
      <c r="O66" s="260" t="n"/>
      <c r="P66" s="21" t="n"/>
      <c r="Q66" s="21" t="n"/>
      <c r="R66" s="21" t="n"/>
      <c r="S66" s="654" t="n"/>
    </row>
    <row r="67" ht="23.25" customFormat="1" customHeight="1" s="21">
      <c r="A67" s="19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2" t="n"/>
      <c r="O67" s="260" t="n"/>
      <c r="P67" s="21" t="n"/>
      <c r="Q67" s="21" t="n"/>
      <c r="R67" s="21" t="n"/>
      <c r="S67" s="654" t="n"/>
    </row>
    <row r="68" ht="24" customFormat="1" customHeight="1" s="21" thickBot="1">
      <c r="A68" s="19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2" t="n"/>
      <c r="O68" s="259" t="n"/>
      <c r="P68" s="259" t="n"/>
      <c r="Q68" s="259" t="n"/>
      <c r="R68" s="259" t="n"/>
      <c r="S68" s="260" t="n"/>
    </row>
    <row r="69" ht="24" customFormat="1" customHeight="1" s="21" thickBot="1">
      <c r="A69" s="731" t="inlineStr">
        <is>
          <t>ITEM:</t>
        </is>
      </c>
      <c r="B69" s="705" t="n"/>
      <c r="C69" s="705" t="n"/>
      <c r="D69" s="705" t="n"/>
      <c r="E69" s="705" t="n"/>
      <c r="F69" s="705" t="n"/>
      <c r="G69" s="705" t="n"/>
      <c r="H69" s="705" t="n"/>
      <c r="I69" s="705" t="n"/>
      <c r="J69" s="705" t="n"/>
      <c r="K69" s="705" t="n"/>
      <c r="L69" s="705" t="n"/>
      <c r="M69" s="705" t="n"/>
      <c r="N69" s="706" t="n"/>
      <c r="O69" s="276" t="inlineStr">
        <is>
          <t>DESCRIPTION OF SERVICES</t>
        </is>
      </c>
      <c r="P69" s="678" t="n"/>
      <c r="Q69" s="678" t="n"/>
      <c r="R69" s="678" t="n"/>
      <c r="S69" s="681" t="n"/>
    </row>
    <row r="70" ht="23.25" customFormat="1" customHeight="1" s="21">
      <c r="A70" s="26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8" t="n"/>
      <c r="O70" s="279" t="n"/>
      <c r="P70" s="705" t="n"/>
      <c r="Q70" s="705" t="n"/>
      <c r="R70" s="705" t="n"/>
      <c r="S70" s="706" t="n"/>
    </row>
    <row r="71" ht="24" customFormat="1" customHeight="1" s="21">
      <c r="A71" s="19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2" t="n"/>
      <c r="O71" s="260" t="n"/>
      <c r="P71" s="21" t="n"/>
      <c r="Q71" s="21" t="n"/>
      <c r="R71" s="21" t="n"/>
      <c r="S71" s="654" t="n"/>
    </row>
    <row r="72" ht="22.9" customFormat="1" customHeight="1" s="21">
      <c r="A72" s="19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2" t="n"/>
      <c r="O72" s="260" t="n"/>
      <c r="P72" s="21" t="n"/>
      <c r="Q72" s="21" t="n"/>
      <c r="R72" s="21" t="n"/>
      <c r="S72" s="654" t="n"/>
    </row>
    <row r="73" ht="22.9" customFormat="1" customHeight="1" s="21">
      <c r="A73" s="19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2" t="n"/>
      <c r="O73" s="709" t="n"/>
      <c r="P73" s="21" t="n"/>
      <c r="Q73" s="21" t="n"/>
      <c r="R73" s="21" t="n"/>
      <c r="S73" s="654" t="n"/>
    </row>
    <row r="74" ht="22.9" customFormat="1" customHeight="1" s="21">
      <c r="A74" s="19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2" t="n"/>
      <c r="O74" s="709" t="n"/>
      <c r="P74" s="21" t="n"/>
      <c r="Q74" s="21" t="n"/>
      <c r="R74" s="21" t="n"/>
      <c r="S74" s="654" t="n"/>
    </row>
    <row r="75" ht="22.15" customFormat="1" customHeight="1" s="21">
      <c r="A75" s="19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2" t="n"/>
      <c r="O75" s="709" t="n"/>
      <c r="P75" s="21" t="n"/>
      <c r="Q75" s="21" t="n"/>
      <c r="R75" s="21" t="n"/>
      <c r="S75" s="654" t="n"/>
    </row>
    <row r="76" ht="23.25" customFormat="1" customHeight="1" s="21">
      <c r="A76" s="19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2" t="n"/>
      <c r="O76" s="260" t="n"/>
      <c r="P76" s="21" t="n"/>
      <c r="Q76" s="21" t="n"/>
      <c r="R76" s="21" t="n"/>
      <c r="S76" s="654" t="n"/>
    </row>
    <row r="77" ht="23.25" customFormat="1" customHeight="1" s="21">
      <c r="A77" s="19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2" t="n"/>
      <c r="O77" s="260" t="n"/>
      <c r="P77" s="21" t="n"/>
      <c r="Q77" s="21" t="n"/>
      <c r="R77" s="21" t="n"/>
      <c r="S77" s="654" t="n"/>
    </row>
    <row r="78" ht="24" customFormat="1" customHeight="1" s="21" thickBot="1">
      <c r="A78" s="19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2" t="n"/>
      <c r="O78" s="260" t="n"/>
      <c r="P78" s="21" t="n"/>
      <c r="Q78" s="21" t="n"/>
      <c r="R78" s="21" t="n"/>
      <c r="S78" s="654" t="n"/>
    </row>
    <row r="79" ht="24" customFormat="1" customHeight="1" s="21" thickBot="1">
      <c r="A79" s="731" t="inlineStr">
        <is>
          <t xml:space="preserve">ITEM: </t>
        </is>
      </c>
      <c r="B79" s="705" t="n"/>
      <c r="C79" s="705" t="n"/>
      <c r="D79" s="705" t="n"/>
      <c r="E79" s="705" t="n"/>
      <c r="F79" s="705" t="n"/>
      <c r="G79" s="705" t="n"/>
      <c r="H79" s="705" t="n"/>
      <c r="I79" s="705" t="n"/>
      <c r="J79" s="705" t="n"/>
      <c r="K79" s="705" t="n"/>
      <c r="L79" s="705" t="n"/>
      <c r="M79" s="705" t="n"/>
      <c r="N79" s="706" t="n"/>
      <c r="O79" s="276" t="inlineStr">
        <is>
          <t>DESCRIPTION OF SERVICES</t>
        </is>
      </c>
      <c r="P79" s="678" t="n"/>
      <c r="Q79" s="678" t="n"/>
      <c r="R79" s="678" t="n"/>
      <c r="S79" s="681" t="n"/>
    </row>
    <row r="80" ht="23.25" customFormat="1" customHeight="1" s="21">
      <c r="A80" s="26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8" t="n"/>
      <c r="O80" s="279" t="n"/>
      <c r="P80" s="705" t="n"/>
      <c r="Q80" s="705" t="n"/>
      <c r="R80" s="705" t="n"/>
      <c r="S80" s="706" t="n"/>
    </row>
    <row r="81" ht="23.25" customFormat="1" customHeight="1" s="21">
      <c r="A81" s="19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2" t="n"/>
      <c r="O81" s="260" t="n"/>
      <c r="P81" s="21" t="n"/>
      <c r="Q81" s="21" t="n"/>
      <c r="R81" s="21" t="n"/>
      <c r="S81" s="654" t="n"/>
    </row>
    <row r="82" ht="23.25" customFormat="1" customHeight="1" s="21">
      <c r="A82" s="19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2" t="n"/>
      <c r="O82" s="260" t="n"/>
      <c r="P82" s="21" t="n"/>
      <c r="Q82" s="21" t="n"/>
      <c r="R82" s="21" t="n"/>
      <c r="S82" s="654" t="n"/>
    </row>
    <row r="83" ht="23.25" customFormat="1" customHeight="1" s="21">
      <c r="A83" s="19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2" t="n"/>
      <c r="O83" s="709" t="n"/>
      <c r="P83" s="21" t="n"/>
      <c r="Q83" s="21" t="n"/>
      <c r="R83" s="21" t="n"/>
      <c r="S83" s="654" t="n"/>
    </row>
    <row r="84" ht="23.25" customFormat="1" customHeight="1" s="21">
      <c r="A84" s="19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2" t="n"/>
      <c r="O84" s="709" t="n"/>
      <c r="P84" s="21" t="n"/>
      <c r="Q84" s="21" t="n"/>
      <c r="R84" s="21" t="n"/>
      <c r="S84" s="654" t="n"/>
    </row>
    <row r="85" ht="23.25" customFormat="1" customHeight="1" s="21">
      <c r="A85" s="19" t="n"/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2" t="n"/>
      <c r="O85" s="709" t="n"/>
      <c r="P85" s="21" t="n"/>
      <c r="Q85" s="21" t="n"/>
      <c r="R85" s="21" t="n"/>
      <c r="S85" s="654" t="n"/>
    </row>
    <row r="86" ht="23.25" customFormat="1" customHeight="1" s="21">
      <c r="A86" s="19" t="n"/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2" t="n"/>
      <c r="O86" s="260" t="n"/>
      <c r="P86" s="21" t="n"/>
      <c r="Q86" s="21" t="n"/>
      <c r="R86" s="21" t="n"/>
      <c r="S86" s="654" t="n"/>
    </row>
    <row r="87" ht="23.25" customFormat="1" customHeight="1" s="21">
      <c r="A87" s="19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2" t="n"/>
      <c r="O87" s="260" t="n"/>
      <c r="P87" s="21" t="n"/>
      <c r="Q87" s="21" t="n"/>
      <c r="R87" s="21" t="n"/>
      <c r="S87" s="654" t="n"/>
    </row>
    <row r="88" ht="23.25" customFormat="1" customHeight="1" s="21">
      <c r="A88" s="19" t="n"/>
      <c r="B88" s="31" t="n"/>
      <c r="C88" s="31" t="n"/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2" t="n"/>
      <c r="O88" s="260" t="n"/>
      <c r="P88" s="21" t="n"/>
      <c r="Q88" s="21" t="n"/>
      <c r="R88" s="21" t="n"/>
      <c r="S88" s="654" t="n"/>
    </row>
    <row r="89" ht="23.25" customFormat="1" customHeight="1" s="21">
      <c r="A89" s="19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2" t="n"/>
      <c r="O89" s="260" t="n"/>
      <c r="P89" s="21" t="n"/>
      <c r="Q89" s="21" t="n"/>
      <c r="R89" s="21" t="n"/>
      <c r="S89" s="654" t="n"/>
    </row>
    <row r="90" ht="23.25" customFormat="1" customHeight="1" s="21">
      <c r="A90" s="19" t="n"/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2" t="n"/>
      <c r="O90" s="259" t="n"/>
      <c r="P90" s="259" t="n"/>
      <c r="Q90" s="259" t="n"/>
      <c r="R90" s="259" t="n"/>
      <c r="S90" s="260" t="n"/>
    </row>
    <row r="91" ht="23.25" customFormat="1" customHeight="1" s="21">
      <c r="A91" s="19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2" t="n"/>
      <c r="O91" s="259" t="n"/>
      <c r="P91" s="259" t="n"/>
      <c r="Q91" s="259" t="n"/>
      <c r="R91" s="259" t="n"/>
      <c r="S91" s="260" t="n"/>
    </row>
    <row r="92" ht="23.25" customFormat="1" customHeight="1" s="21">
      <c r="A92" s="19" t="n"/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2" t="n"/>
      <c r="O92" s="259" t="n"/>
      <c r="P92" s="259" t="n"/>
      <c r="Q92" s="259" t="n"/>
      <c r="R92" s="259" t="n"/>
      <c r="S92" s="260" t="n"/>
    </row>
    <row r="93" ht="24" customFormat="1" customHeight="1" s="21" thickBot="1">
      <c r="A93" s="19" t="n"/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2" t="n"/>
      <c r="O93" s="259" t="n"/>
      <c r="P93" s="259" t="n"/>
      <c r="Q93" s="259" t="n"/>
      <c r="R93" s="259" t="n"/>
      <c r="S93" s="260" t="n"/>
    </row>
    <row r="94" ht="24" customFormat="1" customHeight="1" s="21" thickBot="1">
      <c r="A94" s="732" t="inlineStr">
        <is>
          <t xml:space="preserve">ITEM: </t>
        </is>
      </c>
      <c r="B94" s="678" t="n"/>
      <c r="C94" s="678" t="n"/>
      <c r="D94" s="678" t="n"/>
      <c r="E94" s="678" t="n"/>
      <c r="F94" s="678" t="n"/>
      <c r="G94" s="678" t="n"/>
      <c r="H94" s="678" t="n"/>
      <c r="I94" s="678" t="n"/>
      <c r="J94" s="678" t="n"/>
      <c r="K94" s="678" t="n"/>
      <c r="L94" s="678" t="n"/>
      <c r="M94" s="678" t="n"/>
      <c r="N94" s="733" t="n"/>
      <c r="O94" s="276" t="inlineStr">
        <is>
          <t>DESCRIPTION OF SERVICES</t>
        </is>
      </c>
      <c r="P94" s="678" t="n"/>
      <c r="Q94" s="678" t="n"/>
      <c r="R94" s="678" t="n"/>
      <c r="S94" s="681" t="n"/>
    </row>
    <row r="95" ht="23.25" customFormat="1" customHeight="1" s="21">
      <c r="A95" s="43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5" t="n"/>
      <c r="O95" s="279" t="n"/>
      <c r="P95" s="705" t="n"/>
      <c r="Q95" s="705" t="n"/>
      <c r="R95" s="705" t="n"/>
      <c r="S95" s="706" t="n"/>
    </row>
    <row r="96" ht="22.9" customFormat="1" customHeight="1" s="21">
      <c r="A96" s="46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8" t="n"/>
      <c r="O96" s="709" t="n"/>
      <c r="P96" s="21" t="n"/>
      <c r="Q96" s="21" t="n"/>
      <c r="R96" s="21" t="n"/>
      <c r="S96" s="654" t="n"/>
    </row>
    <row r="97" ht="23.25" customFormat="1" customHeight="1" s="21">
      <c r="A97" s="46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8" t="n"/>
      <c r="O97" s="128" t="n"/>
      <c r="P97" s="21" t="n"/>
      <c r="Q97" s="21" t="n"/>
      <c r="R97" s="21" t="n"/>
      <c r="S97" s="654" t="n"/>
    </row>
    <row r="98" ht="23.25" customFormat="1" customHeight="1" s="21">
      <c r="A98" s="46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8" t="n"/>
      <c r="O98" s="128" t="n"/>
      <c r="P98" s="21" t="n"/>
      <c r="Q98" s="21" t="n"/>
      <c r="R98" s="21" t="n"/>
      <c r="S98" s="654" t="n"/>
    </row>
    <row r="99" ht="23.25" customFormat="1" customHeight="1" s="21">
      <c r="A99" s="46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8" t="n"/>
      <c r="O99" s="709" t="n"/>
      <c r="P99" s="21" t="n"/>
      <c r="Q99" s="21" t="n"/>
      <c r="R99" s="21" t="n"/>
      <c r="S99" s="654" t="n"/>
    </row>
    <row r="100" ht="23.25" customFormat="1" customHeight="1" s="21">
      <c r="A100" s="46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8" t="n"/>
      <c r="O100" s="709" t="n"/>
      <c r="P100" s="21" t="n"/>
      <c r="Q100" s="21" t="n"/>
      <c r="R100" s="21" t="n"/>
      <c r="S100" s="654" t="n"/>
    </row>
    <row r="101" ht="23.25" customFormat="1" customHeight="1" s="21">
      <c r="A101" s="46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8" t="n"/>
      <c r="O101" s="260" t="n"/>
      <c r="P101" s="21" t="n"/>
      <c r="Q101" s="21" t="n"/>
      <c r="R101" s="21" t="n"/>
      <c r="S101" s="654" t="n"/>
    </row>
    <row r="102" ht="23.25" customFormat="1" customHeight="1" s="21">
      <c r="A102" s="46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8" t="n"/>
      <c r="O102" s="260" t="n"/>
      <c r="P102" s="21" t="n"/>
      <c r="Q102" s="21" t="n"/>
      <c r="R102" s="21" t="n"/>
      <c r="S102" s="654" t="n"/>
    </row>
    <row r="103" ht="23.25" customFormat="1" customHeight="1" s="21">
      <c r="A103" s="46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8" t="n"/>
      <c r="O103" s="260" t="n"/>
      <c r="P103" s="21" t="n"/>
      <c r="Q103" s="21" t="n"/>
      <c r="R103" s="21" t="n"/>
      <c r="S103" s="654" t="n"/>
    </row>
    <row r="104" ht="23.25" customFormat="1" customHeight="1" s="21">
      <c r="A104" s="46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8" t="n"/>
      <c r="O104" s="260" t="n"/>
      <c r="P104" s="21" t="n"/>
      <c r="Q104" s="21" t="n"/>
      <c r="R104" s="21" t="n"/>
      <c r="S104" s="654" t="n"/>
    </row>
    <row r="105" ht="23.25" customFormat="1" customHeight="1" s="21">
      <c r="A105" s="46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8" t="n"/>
      <c r="O105" s="259" t="n"/>
      <c r="P105" s="259" t="n"/>
      <c r="Q105" s="259" t="n"/>
      <c r="R105" s="259" t="n"/>
      <c r="S105" s="260" t="n"/>
    </row>
    <row r="106" ht="23.25" customFormat="1" customHeight="1" s="21">
      <c r="A106" s="46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8" t="n"/>
      <c r="O106" s="259" t="n"/>
      <c r="P106" s="259" t="n"/>
      <c r="Q106" s="259" t="n"/>
      <c r="R106" s="259" t="n"/>
      <c r="S106" s="260" t="n"/>
    </row>
    <row r="107" ht="23.25" customFormat="1" customHeight="1" s="21">
      <c r="A107" s="46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8" t="n"/>
      <c r="O107" s="259" t="n"/>
      <c r="P107" s="259" t="n"/>
      <c r="Q107" s="259" t="n"/>
      <c r="R107" s="259" t="n"/>
      <c r="S107" s="260" t="n"/>
    </row>
    <row r="108" ht="24" customFormat="1" customHeight="1" s="21" thickBot="1">
      <c r="A108" s="46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8" t="n"/>
      <c r="O108" s="259" t="n"/>
      <c r="P108" s="259" t="n"/>
      <c r="Q108" s="259" t="n"/>
      <c r="R108" s="259" t="n"/>
      <c r="S108" s="260" t="n"/>
    </row>
    <row r="109" ht="16.15" customFormat="1" customHeight="1" s="21">
      <c r="A109" s="715" t="inlineStr">
        <is>
          <t>PREPARED BY</t>
        </is>
      </c>
      <c r="B109" s="705" t="n"/>
      <c r="C109" s="705" t="n"/>
      <c r="D109" s="705" t="n"/>
      <c r="E109" s="705" t="n"/>
      <c r="F109" s="706" t="n"/>
      <c r="G109" s="715" t="inlineStr">
        <is>
          <t>CLIENT REPRESENTATIVE</t>
        </is>
      </c>
      <c r="H109" s="705" t="n"/>
      <c r="I109" s="705" t="n"/>
      <c r="J109" s="705" t="n"/>
      <c r="K109" s="705" t="n"/>
      <c r="L109" s="706" t="n"/>
      <c r="M109" s="715" t="inlineStr">
        <is>
          <t>APPROVED BY</t>
        </is>
      </c>
      <c r="N109" s="705" t="n"/>
      <c r="O109" s="705" t="n"/>
      <c r="P109" s="705" t="n"/>
      <c r="Q109" s="705" t="n"/>
      <c r="R109" s="705" t="n"/>
      <c r="S109" s="706" t="n"/>
    </row>
    <row r="110" ht="16.9" customFormat="1" customHeight="1" s="21" thickBot="1">
      <c r="A110" s="716" t="n"/>
      <c r="B110" s="712" t="n"/>
      <c r="C110" s="712" t="n"/>
      <c r="D110" s="712" t="n"/>
      <c r="E110" s="712" t="n"/>
      <c r="F110" s="713" t="n"/>
      <c r="G110" s="716" t="n"/>
      <c r="H110" s="712" t="n"/>
      <c r="I110" s="712" t="n"/>
      <c r="J110" s="712" t="n"/>
      <c r="K110" s="712" t="n"/>
      <c r="L110" s="713" t="n"/>
      <c r="M110" s="716" t="n"/>
      <c r="N110" s="712" t="n"/>
      <c r="O110" s="712" t="n"/>
      <c r="P110" s="712" t="n"/>
      <c r="Q110" s="712" t="n"/>
      <c r="R110" s="712" t="n"/>
      <c r="S110" s="713" t="n"/>
    </row>
    <row r="111" ht="16.15" customFormat="1" customHeight="1" s="21">
      <c r="A111" s="34" t="n"/>
      <c r="B111" s="35" t="n"/>
      <c r="C111" s="35" t="n"/>
      <c r="D111" s="35" t="n"/>
      <c r="E111" s="35" t="n"/>
      <c r="F111" s="35" t="n"/>
      <c r="G111" s="36" t="inlineStr">
        <is>
          <t> </t>
        </is>
      </c>
      <c r="H111" s="37" t="n"/>
      <c r="I111" s="37" t="n"/>
      <c r="J111" s="37" t="n"/>
      <c r="K111" s="37" t="n"/>
      <c r="L111" s="20" t="inlineStr">
        <is>
          <t> </t>
        </is>
      </c>
      <c r="M111" s="381" t="n"/>
      <c r="N111" s="381" t="n"/>
      <c r="O111" s="381" t="n"/>
      <c r="P111" s="381" t="n"/>
      <c r="Q111" s="381" t="n"/>
      <c r="R111" s="381" t="n"/>
      <c r="S111" s="382" t="n"/>
    </row>
    <row r="112" ht="16.15" customFormat="1" customHeight="1" s="21">
      <c r="A112" s="38" t="n"/>
      <c r="B112" s="163" t="n"/>
      <c r="C112" s="163" t="n"/>
      <c r="D112" s="163" t="n"/>
      <c r="E112" s="163" t="n"/>
      <c r="F112" s="163" t="n"/>
      <c r="G112" s="36" t="n"/>
      <c r="H112" s="37" t="n"/>
      <c r="I112" s="37" t="n"/>
      <c r="J112" s="37" t="n"/>
      <c r="K112" s="37" t="n"/>
      <c r="L112" s="20" t="n"/>
      <c r="M112" s="37" t="n"/>
      <c r="N112" s="37" t="n"/>
      <c r="O112" s="37" t="n"/>
      <c r="P112" s="37" t="n"/>
      <c r="Q112" s="37" t="n"/>
      <c r="R112" s="37" t="n"/>
      <c r="S112" s="20" t="n"/>
    </row>
    <row r="113" ht="16.15" customFormat="1" customHeight="1" s="21">
      <c r="A113" s="38" t="n"/>
      <c r="B113" s="163" t="n"/>
      <c r="C113" s="163" t="n"/>
      <c r="D113" s="163" t="n"/>
      <c r="E113" s="163" t="n"/>
      <c r="F113" s="163" t="n"/>
      <c r="G113" s="36" t="n"/>
      <c r="H113" s="37" t="n"/>
      <c r="I113" s="37" t="n"/>
      <c r="J113" s="37" t="n"/>
      <c r="K113" s="37" t="n"/>
      <c r="L113" s="20" t="n"/>
      <c r="M113" s="37" t="n"/>
      <c r="N113" s="37" t="n"/>
      <c r="O113" s="37" t="n"/>
      <c r="P113" s="37" t="n"/>
      <c r="Q113" s="37" t="n"/>
      <c r="R113" s="37" t="n"/>
      <c r="S113" s="20" t="n"/>
    </row>
    <row r="114" ht="54" customFormat="1" customHeight="1" s="21">
      <c r="A114" s="38" t="n"/>
      <c r="B114" s="163" t="n"/>
      <c r="C114" s="163" t="n"/>
      <c r="D114" s="163" t="n"/>
      <c r="E114" s="163" t="n"/>
      <c r="F114" s="163" t="n"/>
      <c r="G114" s="36" t="n"/>
      <c r="H114" s="37" t="n"/>
      <c r="I114" s="37" t="n"/>
      <c r="J114" s="37" t="n"/>
      <c r="K114" s="37" t="n"/>
      <c r="L114" s="20" t="n"/>
      <c r="M114" s="37" t="n"/>
      <c r="N114" s="37" t="n"/>
      <c r="O114" s="37" t="n"/>
      <c r="P114" s="37" t="n"/>
      <c r="Q114" s="37" t="n"/>
      <c r="R114" s="37" t="n"/>
      <c r="S114" s="20" t="n"/>
    </row>
    <row r="115" ht="25.15" customFormat="1" customHeight="1" s="21">
      <c r="A115" s="38" t="inlineStr">
        <is>
          <t>NAME:</t>
        </is>
      </c>
      <c r="B115" s="164" t="n"/>
      <c r="C115" s="21" t="n"/>
      <c r="D115" s="21" t="n"/>
      <c r="E115" s="21" t="n"/>
      <c r="F115" s="654" t="n"/>
      <c r="G115" s="38" t="inlineStr">
        <is>
          <t>NAME:</t>
        </is>
      </c>
      <c r="H115" s="37" t="n"/>
      <c r="I115" s="37" t="n"/>
      <c r="J115" s="37" t="n"/>
      <c r="K115" s="37" t="n"/>
      <c r="L115" s="20" t="n"/>
      <c r="M115" s="38" t="inlineStr">
        <is>
          <t>NAME:</t>
        </is>
      </c>
      <c r="N115" s="37" t="n"/>
      <c r="O115" s="37" t="n"/>
      <c r="P115" s="37" t="n"/>
      <c r="Q115" s="37" t="n"/>
      <c r="R115" s="37" t="n"/>
      <c r="S115" s="20" t="n"/>
    </row>
    <row r="116" ht="27" customFormat="1" customHeight="1" s="21">
      <c r="A116" s="38" t="inlineStr">
        <is>
          <t>DATE:</t>
        </is>
      </c>
      <c r="B116" s="653">
        <f>TODAY()</f>
        <v/>
      </c>
      <c r="C116" s="21" t="n"/>
      <c r="D116" s="21" t="n"/>
      <c r="E116" s="21" t="n"/>
      <c r="F116" s="654" t="n"/>
      <c r="G116" s="38" t="inlineStr">
        <is>
          <t>DATE:</t>
        </is>
      </c>
      <c r="H116" s="37" t="n"/>
      <c r="I116" s="37" t="n"/>
      <c r="J116" s="37" t="n"/>
      <c r="K116" s="37" t="n"/>
      <c r="L116" s="20" t="n"/>
      <c r="M116" s="38" t="inlineStr">
        <is>
          <t>DATE:</t>
        </is>
      </c>
      <c r="N116" s="37" t="n"/>
      <c r="O116" s="37" t="n"/>
      <c r="P116" s="37" t="n"/>
      <c r="Q116" s="37" t="n"/>
      <c r="R116" s="37" t="n"/>
      <c r="S116" s="20" t="n"/>
    </row>
    <row r="117" ht="28.9" customFormat="1" customHeight="1" s="21" thickBot="1">
      <c r="A117" s="40" t="n"/>
      <c r="B117" s="41" t="n"/>
      <c r="C117" s="41" t="n"/>
      <c r="D117" s="41" t="n"/>
      <c r="E117" s="41" t="n"/>
      <c r="F117" s="41" t="n"/>
      <c r="G117" s="42" t="n"/>
      <c r="H117" s="24" t="n"/>
      <c r="I117" s="24" t="n"/>
      <c r="J117" s="24" t="n"/>
      <c r="K117" s="24" t="n"/>
      <c r="L117" s="25" t="n"/>
      <c r="M117" s="24" t="n"/>
      <c r="N117" s="24" t="n"/>
      <c r="O117" s="24" t="n"/>
      <c r="P117" s="24" t="n"/>
      <c r="Q117" s="24" t="n"/>
      <c r="R117" s="24" t="n"/>
      <c r="S117" s="25" t="n"/>
    </row>
  </sheetData>
  <mergeCells count="196">
    <mergeCell ref="A39:E39"/>
    <mergeCell ref="I30:M30"/>
    <mergeCell ref="A48:E48"/>
    <mergeCell ref="F36:H36"/>
    <mergeCell ref="A23:S23"/>
    <mergeCell ref="F33:H33"/>
    <mergeCell ref="F45:H45"/>
    <mergeCell ref="O86:S86"/>
    <mergeCell ref="D19:H19"/>
    <mergeCell ref="I46:M46"/>
    <mergeCell ref="B54:R54"/>
    <mergeCell ref="A45:E45"/>
    <mergeCell ref="A21:C21"/>
    <mergeCell ref="F47:H47"/>
    <mergeCell ref="A79:N79"/>
    <mergeCell ref="M19:S19"/>
    <mergeCell ref="F31:H31"/>
    <mergeCell ref="I32:M32"/>
    <mergeCell ref="O65:S65"/>
    <mergeCell ref="I41:M41"/>
    <mergeCell ref="A37:E37"/>
    <mergeCell ref="A46:E46"/>
    <mergeCell ref="F39:H39"/>
    <mergeCell ref="N34:S34"/>
    <mergeCell ref="A26:E26"/>
    <mergeCell ref="I43:M43"/>
    <mergeCell ref="B116:F116"/>
    <mergeCell ref="N49:S49"/>
    <mergeCell ref="N27:S27"/>
    <mergeCell ref="I24:M24"/>
    <mergeCell ref="N36:S36"/>
    <mergeCell ref="I33:M33"/>
    <mergeCell ref="I16:L16"/>
    <mergeCell ref="O62:S62"/>
    <mergeCell ref="O70:S70"/>
    <mergeCell ref="A43:E43"/>
    <mergeCell ref="I18:L18"/>
    <mergeCell ref="O76:S76"/>
    <mergeCell ref="O85:S85"/>
    <mergeCell ref="I50:M50"/>
    <mergeCell ref="M21:S21"/>
    <mergeCell ref="R18:S18"/>
    <mergeCell ref="I34:M34"/>
    <mergeCell ref="N46:S46"/>
    <mergeCell ref="A34:E34"/>
    <mergeCell ref="O101:S101"/>
    <mergeCell ref="F41:H41"/>
    <mergeCell ref="O77:S77"/>
    <mergeCell ref="A49:E49"/>
    <mergeCell ref="I20:L20"/>
    <mergeCell ref="F50:H50"/>
    <mergeCell ref="I36:M36"/>
    <mergeCell ref="N48:S48"/>
    <mergeCell ref="A36:E36"/>
    <mergeCell ref="I45:M45"/>
    <mergeCell ref="D15:S15"/>
    <mergeCell ref="A94:N94"/>
    <mergeCell ref="E22:H22"/>
    <mergeCell ref="O83:S83"/>
    <mergeCell ref="N38:S38"/>
    <mergeCell ref="A69:N69"/>
    <mergeCell ref="I47:M47"/>
    <mergeCell ref="F27:H27"/>
    <mergeCell ref="O103:S103"/>
    <mergeCell ref="I28:M28"/>
    <mergeCell ref="N40:S40"/>
    <mergeCell ref="I37:M37"/>
    <mergeCell ref="O84:S84"/>
    <mergeCell ref="D17:H17"/>
    <mergeCell ref="O75:S75"/>
    <mergeCell ref="N24:S24"/>
    <mergeCell ref="F49:H49"/>
    <mergeCell ref="O59:S59"/>
    <mergeCell ref="O80:S80"/>
    <mergeCell ref="O95:S95"/>
    <mergeCell ref="A32:E32"/>
    <mergeCell ref="N26:S26"/>
    <mergeCell ref="O89:S89"/>
    <mergeCell ref="A15:C15"/>
    <mergeCell ref="O104:S104"/>
    <mergeCell ref="F29:H29"/>
    <mergeCell ref="O79:S79"/>
    <mergeCell ref="F25:H25"/>
    <mergeCell ref="O61:S61"/>
    <mergeCell ref="A29:E29"/>
    <mergeCell ref="N25:S25"/>
    <mergeCell ref="A38:E38"/>
    <mergeCell ref="F40:H40"/>
    <mergeCell ref="O81:S81"/>
    <mergeCell ref="A31:E31"/>
    <mergeCell ref="A40:E40"/>
    <mergeCell ref="A16:C16"/>
    <mergeCell ref="F24:H24"/>
    <mergeCell ref="A58:N58"/>
    <mergeCell ref="O87:S87"/>
    <mergeCell ref="J22:M22"/>
    <mergeCell ref="I17:L17"/>
    <mergeCell ref="A24:E24"/>
    <mergeCell ref="O96:S98"/>
    <mergeCell ref="F32:H32"/>
    <mergeCell ref="A18:C18"/>
    <mergeCell ref="F26:H26"/>
    <mergeCell ref="I49:M49"/>
    <mergeCell ref="I27:M27"/>
    <mergeCell ref="N39:S39"/>
    <mergeCell ref="I19:L19"/>
    <mergeCell ref="F38:H38"/>
    <mergeCell ref="D21:H21"/>
    <mergeCell ref="N29:S29"/>
    <mergeCell ref="I25:M25"/>
    <mergeCell ref="A25:E25"/>
    <mergeCell ref="D1:S12"/>
    <mergeCell ref="A22:C22"/>
    <mergeCell ref="O63:S63"/>
    <mergeCell ref="F43:H43"/>
    <mergeCell ref="O99:S99"/>
    <mergeCell ref="N31:S31"/>
    <mergeCell ref="A20:C20"/>
    <mergeCell ref="F37:H37"/>
    <mergeCell ref="O69:S69"/>
    <mergeCell ref="P17:Q17"/>
    <mergeCell ref="A50:E50"/>
    <mergeCell ref="A51:S51"/>
    <mergeCell ref="D16:H16"/>
    <mergeCell ref="A42:E42"/>
    <mergeCell ref="A47:E47"/>
    <mergeCell ref="A13:S14"/>
    <mergeCell ref="M20:S20"/>
    <mergeCell ref="R17:S17"/>
    <mergeCell ref="F44:H44"/>
    <mergeCell ref="I39:M39"/>
    <mergeCell ref="D18:H18"/>
    <mergeCell ref="O94:S94"/>
    <mergeCell ref="I48:M48"/>
    <mergeCell ref="F34:H34"/>
    <mergeCell ref="O64:S64"/>
    <mergeCell ref="N32:S32"/>
    <mergeCell ref="I29:M29"/>
    <mergeCell ref="N41:S41"/>
    <mergeCell ref="O22:R22"/>
    <mergeCell ref="I21:L21"/>
    <mergeCell ref="A28:E28"/>
    <mergeCell ref="I38:M38"/>
    <mergeCell ref="N50:S50"/>
    <mergeCell ref="B55:R55"/>
    <mergeCell ref="O67:S67"/>
    <mergeCell ref="O72:S72"/>
    <mergeCell ref="F30:H30"/>
    <mergeCell ref="A44:E44"/>
    <mergeCell ref="I31:M31"/>
    <mergeCell ref="N43:S43"/>
    <mergeCell ref="A109:F110"/>
    <mergeCell ref="I40:M40"/>
    <mergeCell ref="A30:E30"/>
    <mergeCell ref="D20:H20"/>
    <mergeCell ref="F42:H42"/>
    <mergeCell ref="O78:S78"/>
    <mergeCell ref="N33:S33"/>
    <mergeCell ref="N42:S42"/>
    <mergeCell ref="B115:F115"/>
    <mergeCell ref="A35:S35"/>
    <mergeCell ref="G109:L110"/>
    <mergeCell ref="I26:M26"/>
    <mergeCell ref="N44:S44"/>
    <mergeCell ref="F46:H46"/>
    <mergeCell ref="F28:H28"/>
    <mergeCell ref="B52:R52"/>
    <mergeCell ref="N28:S28"/>
    <mergeCell ref="A41:E41"/>
    <mergeCell ref="A17:C17"/>
    <mergeCell ref="M109:S110"/>
    <mergeCell ref="O88:S88"/>
    <mergeCell ref="F48:H48"/>
    <mergeCell ref="A27:E27"/>
    <mergeCell ref="N30:S30"/>
    <mergeCell ref="A19:C19"/>
    <mergeCell ref="O74:S74"/>
    <mergeCell ref="B53:R53"/>
    <mergeCell ref="N45:S45"/>
    <mergeCell ref="A33:E33"/>
    <mergeCell ref="I42:M42"/>
    <mergeCell ref="O71:S71"/>
    <mergeCell ref="O58:S58"/>
    <mergeCell ref="P18:Q18"/>
    <mergeCell ref="N47:S47"/>
    <mergeCell ref="I44:M44"/>
    <mergeCell ref="O60:S60"/>
    <mergeCell ref="A1:C12"/>
    <mergeCell ref="O73:S73"/>
    <mergeCell ref="O100:S100"/>
    <mergeCell ref="O82:S82"/>
    <mergeCell ref="M16:S16"/>
    <mergeCell ref="N37:S37"/>
    <mergeCell ref="O66:S66"/>
    <mergeCell ref="A57:S57"/>
    <mergeCell ref="O102:S102"/>
  </mergeCells>
  <dataValidations count="7">
    <dataValidation sqref="N56:R56 S52:S56" showDropDown="0" showInputMessage="1" showErrorMessage="1" allowBlank="1" type="list">
      <formula1>"REUSEABLE, NO SPARE KIT - REUSEABLE, BADLY DAMAGED, NEED TO REPLACED, NO SPARE KIT"</formula1>
    </dataValidation>
    <dataValidation sqref="I56:M56" showDropDown="0" showInputMessage="1" showErrorMessage="1" allowBlank="1" type="list">
      <formula1>"SAND DOWN &amp; CLEANING , CLEANING , TO REPLACE NEW, TO MACHINED, TO LAPPED, TO BUILD UP &amp; MACHINE, NOT APPLICABLE"</formula1>
    </dataValidation>
    <dataValidation sqref="F56:H56" showDropDown="0" showInputMessage="1" showErrorMessage="1" allowBlank="1" type="list">
      <formula1>"MISSING, LOOSED, OK, WORN OUT, MINOR SCRATCH, MAJOR SCRATCH, NOT AVAILABLE, NOT VISSIBLE , DIRTY, CORRODED, NOT APPLICABLE, IN PLACED"</formula1>
    </dataValidation>
    <dataValidation sqref="N25:N34" showDropDown="0" showInputMessage="1" showErrorMessage="1" allowBlank="1" type="list">
      <formula1>"CLEANED, NO SPARE, SERVICED &amp; CLEANED, N/A, NEW, REUSED"</formula1>
    </dataValidation>
    <dataValidation sqref="I22 N22 S22" showDropDown="0" showInputMessage="1" showErrorMessage="1" allowBlank="1" type="list">
      <formula1>"X,0"</formula1>
    </dataValidation>
    <dataValidation sqref="D22" showDropDown="0" showInputMessage="1" showErrorMessage="1" allowBlank="0" type="list">
      <formula1>"X,0"</formula1>
    </dataValidation>
    <dataValidation sqref="N37:N50" showDropDown="0" showInputMessage="1" showErrorMessage="1" allowBlank="1" type="list">
      <formula1>"CLEANED, NO SPARE, SERVICED &amp; CLEANED, N/A, NEW, LAPPED, MACHINED NEW, REUSED"</formula1>
    </dataValidation>
  </dataValidations>
  <pageMargins left="0.7" right="0.7" top="0.75" bottom="0.75" header="0.3" footer="0.3"/>
  <pageSetup orientation="portrait" paperSize="9" scale="37" fitToHeight="0"/>
  <rowBreaks count="1" manualBreakCount="1">
    <brk id="78" min="0" max="18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88"/>
  <sheetViews>
    <sheetView view="pageBreakPreview" zoomScale="70" zoomScaleNormal="88" zoomScaleSheetLayoutView="70" workbookViewId="0">
      <selection activeCell="D21" sqref="D21:H21"/>
    </sheetView>
  </sheetViews>
  <sheetFormatPr baseColWidth="8" defaultColWidth="11.25" defaultRowHeight="15.75"/>
  <cols>
    <col width="13.375" customWidth="1" min="8" max="8"/>
    <col width="14.375" customWidth="1" min="14" max="14"/>
  </cols>
  <sheetData>
    <row r="1">
      <c r="A1" s="211" t="n"/>
      <c r="B1" s="139" t="n"/>
      <c r="C1" s="139" t="n"/>
      <c r="D1" s="599" t="inlineStr">
        <is>
          <t>PROVISION FOR MECHANICAL VALVE IN SITU PACKING
REPLACEMENT, MECHANICAL VALVE OVERHAULING, AUTOMATIC
RECIRCULATORY VALVE (ARV) SERVICING, AND MOV’S GEARBOX
SERVICING FOR PCFS TA2025</t>
        </is>
      </c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40" t="n"/>
      <c r="T1">
        <f>'Serviced Report'!T1</f>
        <v/>
      </c>
    </row>
    <row r="2">
      <c r="A2" s="127" t="n"/>
      <c r="D2" s="127" t="n"/>
      <c r="S2" s="141" t="n"/>
    </row>
    <row r="3">
      <c r="A3" s="127" t="n"/>
      <c r="D3" s="127" t="n"/>
      <c r="S3" s="141" t="n"/>
    </row>
    <row r="4">
      <c r="A4" s="127" t="n"/>
      <c r="D4" s="127" t="n"/>
      <c r="S4" s="141" t="n"/>
    </row>
    <row r="5">
      <c r="A5" s="127" t="n"/>
      <c r="D5" s="127" t="n"/>
      <c r="S5" s="141" t="n"/>
    </row>
    <row r="6">
      <c r="A6" s="127" t="n"/>
      <c r="D6" s="127" t="n"/>
      <c r="S6" s="141" t="n"/>
    </row>
    <row r="7">
      <c r="A7" s="127" t="n"/>
      <c r="D7" s="127" t="n"/>
      <c r="S7" s="141" t="n"/>
    </row>
    <row r="8">
      <c r="A8" s="127" t="n"/>
      <c r="D8" s="127" t="n"/>
      <c r="S8" s="141" t="n"/>
    </row>
    <row r="9">
      <c r="A9" s="127" t="n"/>
      <c r="D9" s="127" t="n"/>
      <c r="S9" s="141" t="n"/>
    </row>
    <row r="10">
      <c r="A10" s="127" t="n"/>
      <c r="D10" s="127" t="n"/>
      <c r="S10" s="141" t="n"/>
    </row>
    <row r="11">
      <c r="A11" s="127" t="n"/>
      <c r="D11" s="127" t="n"/>
      <c r="S11" s="141" t="n"/>
    </row>
    <row r="12" ht="16.5" customHeight="1" thickBot="1">
      <c r="A12" s="142" t="n"/>
      <c r="B12" s="143" t="n"/>
      <c r="C12" s="143" t="n"/>
      <c r="D12" s="142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43" t="n"/>
      <c r="R12" s="143" t="n"/>
      <c r="S12" s="144" t="n"/>
    </row>
    <row r="13" ht="15.6" customHeight="1">
      <c r="A13" s="600" t="inlineStr">
        <is>
          <t>RECEIVED REPORT</t>
        </is>
      </c>
      <c r="B13" s="601" t="n"/>
      <c r="C13" s="601" t="n"/>
      <c r="D13" s="601" t="n"/>
      <c r="E13" s="601" t="n"/>
      <c r="F13" s="601" t="n"/>
      <c r="G13" s="601" t="n"/>
      <c r="H13" s="601" t="n"/>
      <c r="I13" s="601" t="n"/>
      <c r="J13" s="601" t="n"/>
      <c r="K13" s="601" t="n"/>
      <c r="L13" s="601" t="n"/>
      <c r="M13" s="601" t="n"/>
      <c r="N13" s="601" t="n"/>
      <c r="O13" s="601" t="n"/>
      <c r="P13" s="601" t="n"/>
      <c r="Q13" s="601" t="n"/>
      <c r="R13" s="601" t="n"/>
      <c r="S13" s="602" t="n"/>
    </row>
    <row r="14" ht="16.15" customHeight="1" thickBot="1">
      <c r="A14" s="603" t="n"/>
      <c r="B14" s="604" t="n"/>
      <c r="C14" s="604" t="n"/>
      <c r="D14" s="604" t="n"/>
      <c r="E14" s="604" t="n"/>
      <c r="F14" s="604" t="n"/>
      <c r="G14" s="604" t="n"/>
      <c r="H14" s="604" t="n"/>
      <c r="I14" s="604" t="n"/>
      <c r="J14" s="604" t="n"/>
      <c r="K14" s="604" t="n"/>
      <c r="L14" s="604" t="n"/>
      <c r="M14" s="604" t="n"/>
      <c r="N14" s="604" t="n"/>
      <c r="O14" s="604" t="n"/>
      <c r="P14" s="604" t="n"/>
      <c r="Q14" s="604" t="n"/>
      <c r="R14" s="604" t="n"/>
      <c r="S14" s="605" t="n"/>
    </row>
    <row r="15" ht="24" customHeight="1" thickBot="1">
      <c r="A15" s="606" t="inlineStr">
        <is>
          <t>CLIENT</t>
        </is>
      </c>
      <c r="B15" s="607" t="n"/>
      <c r="C15" s="608" t="n"/>
      <c r="D15" s="606" t="inlineStr">
        <is>
          <t>PETRONAS CHEMICALS FERTILISER SABAH SDN BHD</t>
        </is>
      </c>
      <c r="E15" s="607" t="n"/>
      <c r="F15" s="607" t="n"/>
      <c r="G15" s="607" t="n"/>
      <c r="H15" s="607" t="n"/>
      <c r="I15" s="607" t="n"/>
      <c r="J15" s="607" t="n"/>
      <c r="K15" s="607" t="n"/>
      <c r="L15" s="607" t="n"/>
      <c r="M15" s="607" t="n"/>
      <c r="N15" s="607" t="n"/>
      <c r="O15" s="607" t="n"/>
      <c r="P15" s="607" t="n"/>
      <c r="Q15" s="607" t="n"/>
      <c r="R15" s="607" t="n"/>
      <c r="S15" s="608" t="n"/>
    </row>
    <row r="16" ht="24" customHeight="1" thickBot="1">
      <c r="A16" s="606" t="inlineStr">
        <is>
          <t>PROJECT</t>
        </is>
      </c>
      <c r="B16" s="607" t="n"/>
      <c r="C16" s="608" t="n"/>
      <c r="D16" s="606" t="inlineStr">
        <is>
          <t>VALVE MAINTENANCE/REPAIR</t>
        </is>
      </c>
      <c r="E16" s="607" t="n"/>
      <c r="F16" s="607" t="n"/>
      <c r="G16" s="607" t="n"/>
      <c r="H16" s="608" t="n"/>
      <c r="I16" s="606" t="inlineStr">
        <is>
          <t>DOC NO</t>
        </is>
      </c>
      <c r="J16" s="607" t="n"/>
      <c r="K16" s="607" t="n"/>
      <c r="L16" s="608" t="n"/>
      <c r="M16" s="655">
        <f>VLOOKUP($T1,Summary!$A$2:$AH$376,13,0)</f>
        <v/>
      </c>
      <c r="N16" s="607" t="n"/>
      <c r="O16" s="607" t="n"/>
      <c r="P16" s="607" t="n"/>
      <c r="Q16" s="607" t="n"/>
      <c r="R16" s="607" t="n"/>
      <c r="S16" s="608" t="n"/>
    </row>
    <row r="17" ht="24" customHeight="1" thickBot="1">
      <c r="A17" s="606" t="inlineStr">
        <is>
          <t>LOCATION</t>
        </is>
      </c>
      <c r="B17" s="607" t="n"/>
      <c r="C17" s="608" t="n"/>
      <c r="D17" s="606" t="inlineStr">
        <is>
          <t>SIPITANG SABAH</t>
        </is>
      </c>
      <c r="E17" s="607" t="n"/>
      <c r="F17" s="607" t="n"/>
      <c r="G17" s="607" t="n"/>
      <c r="H17" s="608" t="n"/>
      <c r="I17" s="606" t="inlineStr">
        <is>
          <t>SIZE INLET</t>
        </is>
      </c>
      <c r="J17" s="607" t="n"/>
      <c r="K17" s="607" t="n"/>
      <c r="L17" s="608" t="n"/>
      <c r="M17" s="137">
        <f>VLOOKUP($T$1,Summary!$A$2:$AH$376,22,0)</f>
        <v/>
      </c>
      <c r="N17" s="125" t="inlineStr">
        <is>
          <t>RATING</t>
        </is>
      </c>
      <c r="O17" s="136">
        <f>VLOOKUP($T$1,Summary!$A$2:$AH$376,26,0)</f>
        <v/>
      </c>
      <c r="P17" s="656" t="inlineStr">
        <is>
          <t>INLET TYPE</t>
        </is>
      </c>
      <c r="Q17" s="613" t="n"/>
      <c r="R17" s="657">
        <f>VLOOKUP($T$1,Summary!$A$2:$AH$376,24,0)</f>
        <v/>
      </c>
      <c r="S17" s="613" t="n"/>
    </row>
    <row r="18" ht="24" customHeight="1" thickBot="1">
      <c r="A18" s="606" t="inlineStr">
        <is>
          <t>DATE IN</t>
        </is>
      </c>
      <c r="B18" s="607" t="n"/>
      <c r="C18" s="608" t="n"/>
      <c r="D18" s="658">
        <f>VLOOKUP($T$1,Summary!$A$2:$AH$376,11,0)</f>
        <v/>
      </c>
      <c r="E18" s="607" t="n"/>
      <c r="F18" s="607" t="n"/>
      <c r="G18" s="607" t="n"/>
      <c r="H18" s="608" t="n"/>
      <c r="I18" s="606" t="inlineStr">
        <is>
          <t>SIZE OUTLET</t>
        </is>
      </c>
      <c r="J18" s="607" t="n"/>
      <c r="K18" s="607" t="n"/>
      <c r="L18" s="608" t="n"/>
      <c r="M18" s="137">
        <f>VLOOKUP($T$1,Summary!$A$2:$AH$376,23,0)</f>
        <v/>
      </c>
      <c r="N18" s="125" t="inlineStr">
        <is>
          <t>RATING</t>
        </is>
      </c>
      <c r="O18" s="136">
        <f>VLOOKUP($T$1,Summary!$A$2:$AH$376,27,0)</f>
        <v/>
      </c>
      <c r="P18" s="656" t="inlineStr">
        <is>
          <t>OUTLET TYPE</t>
        </is>
      </c>
      <c r="Q18" s="613" t="n"/>
      <c r="R18" s="657">
        <f>VLOOKUP($T$1,Summary!$A$2:$AH$376,25,0)</f>
        <v/>
      </c>
      <c r="S18" s="613" t="n"/>
    </row>
    <row r="19" ht="24" customHeight="1" thickBot="1">
      <c r="A19" s="606" t="inlineStr">
        <is>
          <t>WO</t>
        </is>
      </c>
      <c r="B19" s="607" t="n"/>
      <c r="C19" s="608" t="n"/>
      <c r="D19" s="659">
        <f>VLOOKUP($T$1,Summary!$A$2:$AH$376,2,0)</f>
        <v/>
      </c>
      <c r="E19" s="607" t="n"/>
      <c r="F19" s="607" t="n"/>
      <c r="G19" s="607" t="n"/>
      <c r="H19" s="608" t="n"/>
      <c r="I19" s="606" t="inlineStr">
        <is>
          <t>MANUFACTURER</t>
        </is>
      </c>
      <c r="J19" s="607" t="n"/>
      <c r="K19" s="607" t="n"/>
      <c r="L19" s="608" t="n"/>
      <c r="M19" s="655">
        <f>VLOOKUP($T$1,Summary!$A$2:$AH$376,6,0)</f>
        <v/>
      </c>
      <c r="N19" s="607" t="n"/>
      <c r="O19" s="607" t="n"/>
      <c r="P19" s="607" t="n"/>
      <c r="Q19" s="607" t="n"/>
      <c r="R19" s="607" t="n"/>
      <c r="S19" s="608" t="n"/>
    </row>
    <row r="20" ht="24" customHeight="1" thickBot="1">
      <c r="A20" s="606" t="inlineStr">
        <is>
          <t>TAG NO</t>
        </is>
      </c>
      <c r="B20" s="607" t="n"/>
      <c r="C20" s="608" t="n"/>
      <c r="D20" s="658">
        <f>VLOOKUP($T$1,Summary!$A$2:$AH$376,9,0)</f>
        <v/>
      </c>
      <c r="E20" s="607" t="n"/>
      <c r="F20" s="607" t="n"/>
      <c r="G20" s="607" t="n"/>
      <c r="H20" s="608" t="n"/>
      <c r="I20" s="606" t="inlineStr">
        <is>
          <t>TYPE OF VALVE</t>
        </is>
      </c>
      <c r="J20" s="607" t="n"/>
      <c r="K20" s="607" t="n"/>
      <c r="L20" s="608" t="n"/>
      <c r="M20" s="655">
        <f>VLOOKUP($T$1,Summary!$A$2:$AH$376,5,0)</f>
        <v/>
      </c>
      <c r="N20" s="607" t="n"/>
      <c r="O20" s="607" t="n"/>
      <c r="P20" s="607" t="n"/>
      <c r="Q20" s="607" t="n"/>
      <c r="R20" s="607" t="n"/>
      <c r="S20" s="608" t="n"/>
    </row>
    <row r="21" ht="24" customHeight="1" thickBot="1">
      <c r="A21" s="606" t="n"/>
      <c r="B21" s="607" t="n"/>
      <c r="C21" s="608" t="n"/>
      <c r="D21" s="617" t="n"/>
      <c r="E21" s="607" t="n"/>
      <c r="F21" s="607" t="n"/>
      <c r="G21" s="607" t="n"/>
      <c r="H21" s="608" t="n"/>
      <c r="I21" s="660" t="inlineStr">
        <is>
          <t>VALVE OPERATED TYPE</t>
        </is>
      </c>
      <c r="J21" s="619" t="n"/>
      <c r="K21" s="619" t="n"/>
      <c r="L21" s="620" t="n"/>
      <c r="M21" s="655">
        <f>VLOOKUP($T$1,Summary!$A$2:$AH$376,7,0)</f>
        <v/>
      </c>
      <c r="N21" s="607" t="n"/>
      <c r="O21" s="607" t="n"/>
      <c r="P21" s="607" t="n"/>
      <c r="Q21" s="607" t="n"/>
      <c r="R21" s="607" t="n"/>
      <c r="S21" s="608" t="n"/>
    </row>
    <row r="22" ht="24" customHeight="1" thickBot="1">
      <c r="A22" s="222" t="inlineStr">
        <is>
          <t>INSITU TESTING</t>
        </is>
      </c>
      <c r="B22" s="621" t="n"/>
      <c r="C22" s="621" t="n"/>
      <c r="D22" s="15" t="n">
        <v>0</v>
      </c>
      <c r="E22" s="622" t="inlineStr">
        <is>
          <t>SERVICE &amp; REPAIR</t>
        </is>
      </c>
      <c r="F22" s="621" t="n"/>
      <c r="G22" s="621" t="n"/>
      <c r="H22" s="613" t="n"/>
      <c r="I22" s="15" t="n">
        <v>0</v>
      </c>
      <c r="J22" s="216" t="inlineStr">
        <is>
          <t>TESTING ONLY</t>
        </is>
      </c>
      <c r="K22" s="621" t="n"/>
      <c r="L22" s="621" t="n"/>
      <c r="M22" s="621" t="n"/>
      <c r="N22" s="15" t="n"/>
      <c r="O22" s="622" t="inlineStr">
        <is>
          <t xml:space="preserve">   REPLACE NEW VALVE</t>
        </is>
      </c>
      <c r="P22" s="621" t="n"/>
      <c r="Q22" s="621" t="n"/>
      <c r="R22" s="613" t="n"/>
      <c r="S22" s="16" t="n">
        <v>0</v>
      </c>
    </row>
    <row r="23" ht="24" customHeight="1" thickBot="1">
      <c r="A23" s="707" t="inlineStr">
        <is>
          <t>AS RECEIVED VISUAL INSPECTION &amp; SERVICES</t>
        </is>
      </c>
      <c r="B23" s="678" t="n"/>
      <c r="C23" s="678" t="n"/>
      <c r="D23" s="678" t="n"/>
      <c r="E23" s="678" t="n"/>
      <c r="F23" s="678" t="n"/>
      <c r="G23" s="678" t="n"/>
      <c r="H23" s="678" t="n"/>
      <c r="I23" s="678" t="n"/>
      <c r="J23" s="678" t="n"/>
      <c r="K23" s="678" t="n"/>
      <c r="L23" s="678" t="n"/>
      <c r="M23" s="678" t="n"/>
      <c r="N23" s="678" t="n"/>
      <c r="O23" s="678" t="n"/>
      <c r="P23" s="678" t="n"/>
      <c r="Q23" s="678" t="n"/>
      <c r="R23" s="678" t="n"/>
      <c r="S23" s="679" t="n"/>
    </row>
    <row r="24" ht="24" customHeight="1" thickBot="1">
      <c r="A24" s="661" t="inlineStr">
        <is>
          <t>DESCRIPTION</t>
        </is>
      </c>
      <c r="B24" s="604" t="n"/>
      <c r="C24" s="604" t="n"/>
      <c r="D24" s="604" t="n"/>
      <c r="E24" s="605" t="n"/>
      <c r="F24" s="662" t="inlineStr">
        <is>
          <t>CONDITION</t>
        </is>
      </c>
      <c r="G24" s="604" t="n"/>
      <c r="H24" s="605" t="n"/>
      <c r="I24" s="662" t="inlineStr">
        <is>
          <t xml:space="preserve">            ACTION</t>
        </is>
      </c>
      <c r="J24" s="604" t="n"/>
      <c r="K24" s="604" t="n"/>
      <c r="L24" s="604" t="n"/>
      <c r="M24" s="605" t="n"/>
      <c r="N24" s="717" t="inlineStr">
        <is>
          <t>REMARK</t>
        </is>
      </c>
      <c r="O24" s="718" t="n"/>
      <c r="P24" s="718" t="n"/>
      <c r="Q24" s="718" t="n"/>
      <c r="R24" s="718" t="n"/>
      <c r="S24" s="719" t="n"/>
    </row>
    <row r="25" ht="31.15" customHeight="1" thickBot="1">
      <c r="A25" s="606">
        <f>'Finding Report'!A25</f>
        <v/>
      </c>
      <c r="B25" s="607" t="n"/>
      <c r="C25" s="607" t="n"/>
      <c r="D25" s="607" t="n"/>
      <c r="E25" s="608" t="n"/>
      <c r="F25" s="734">
        <f>'Received Report'!F47</f>
        <v/>
      </c>
      <c r="G25" s="607" t="n"/>
      <c r="H25" s="608" t="n"/>
      <c r="I25" s="735" t="inlineStr">
        <is>
          <t>SAT ONLY</t>
        </is>
      </c>
      <c r="J25" s="607" t="n"/>
      <c r="K25" s="607" t="n"/>
      <c r="L25" s="607" t="n"/>
      <c r="M25" s="608" t="n"/>
      <c r="N25" s="699" t="inlineStr">
        <is>
          <t>OK</t>
        </is>
      </c>
      <c r="O25" s="664" t="n"/>
      <c r="P25" s="664" t="n"/>
      <c r="Q25" s="664" t="n"/>
      <c r="R25" s="664" t="n"/>
      <c r="S25" s="665" t="n"/>
    </row>
    <row r="26" ht="25.15" customHeight="1" thickBot="1">
      <c r="A26" s="606">
        <f>'Finding Report'!A26</f>
        <v/>
      </c>
      <c r="B26" s="607" t="n"/>
      <c r="C26" s="607" t="n"/>
      <c r="D26" s="607" t="n"/>
      <c r="E26" s="608" t="n"/>
      <c r="F26" s="734">
        <f>'Received Report'!F44</f>
        <v/>
      </c>
      <c r="G26" s="607" t="n"/>
      <c r="H26" s="608" t="n"/>
      <c r="I26" s="735" t="inlineStr">
        <is>
          <t>SAT ONLY</t>
        </is>
      </c>
      <c r="J26" s="607" t="n"/>
      <c r="K26" s="607" t="n"/>
      <c r="L26" s="607" t="n"/>
      <c r="M26" s="608" t="n"/>
      <c r="N26" s="699" t="inlineStr">
        <is>
          <t>OK</t>
        </is>
      </c>
      <c r="O26" s="664" t="n"/>
      <c r="P26" s="664" t="n"/>
      <c r="Q26" s="664" t="n"/>
      <c r="R26" s="664" t="n"/>
      <c r="S26" s="665" t="n"/>
    </row>
    <row r="27" ht="27" customHeight="1" thickBot="1">
      <c r="A27" s="606">
        <f>'Finding Report'!A27</f>
        <v/>
      </c>
      <c r="B27" s="607" t="n"/>
      <c r="C27" s="607" t="n"/>
      <c r="D27" s="607" t="n"/>
      <c r="E27" s="608" t="n"/>
      <c r="F27" s="734">
        <f>'Received Report'!F45</f>
        <v/>
      </c>
      <c r="G27" s="607" t="n"/>
      <c r="H27" s="608" t="n"/>
      <c r="I27" s="735" t="inlineStr">
        <is>
          <t>SAT ONLY</t>
        </is>
      </c>
      <c r="J27" s="607" t="n"/>
      <c r="K27" s="607" t="n"/>
      <c r="L27" s="607" t="n"/>
      <c r="M27" s="608" t="n"/>
      <c r="N27" s="699" t="inlineStr">
        <is>
          <t>OK</t>
        </is>
      </c>
      <c r="O27" s="664" t="n"/>
      <c r="P27" s="664" t="n"/>
      <c r="Q27" s="664" t="n"/>
      <c r="R27" s="664" t="n"/>
      <c r="S27" s="665" t="n"/>
    </row>
    <row r="28" ht="25.15" customHeight="1" thickBot="1">
      <c r="A28" s="606">
        <f>'Finding Report'!A28</f>
        <v/>
      </c>
      <c r="B28" s="607" t="n"/>
      <c r="C28" s="607" t="n"/>
      <c r="D28" s="607" t="n"/>
      <c r="E28" s="608" t="n"/>
      <c r="F28" s="734">
        <f>'Finding Report'!F28</f>
        <v/>
      </c>
      <c r="G28" s="607" t="n"/>
      <c r="H28" s="608" t="n"/>
      <c r="I28" s="735" t="inlineStr">
        <is>
          <t>SAT ONLY</t>
        </is>
      </c>
      <c r="J28" s="607" t="n"/>
      <c r="K28" s="607" t="n"/>
      <c r="L28" s="607" t="n"/>
      <c r="M28" s="608" t="n"/>
      <c r="N28" s="699" t="inlineStr">
        <is>
          <t>OK</t>
        </is>
      </c>
      <c r="O28" s="664" t="n"/>
      <c r="P28" s="664" t="n"/>
      <c r="Q28" s="664" t="n"/>
      <c r="R28" s="664" t="n"/>
      <c r="S28" s="665" t="n"/>
    </row>
    <row r="29" ht="25.15" customHeight="1" thickBot="1">
      <c r="A29" s="606">
        <f>'Finding Report'!A29</f>
        <v/>
      </c>
      <c r="B29" s="607" t="n"/>
      <c r="C29" s="607" t="n"/>
      <c r="D29" s="607" t="n"/>
      <c r="E29" s="608" t="n"/>
      <c r="F29" s="734">
        <f>'Finding Report'!F29</f>
        <v/>
      </c>
      <c r="G29" s="607" t="n"/>
      <c r="H29" s="608" t="n"/>
      <c r="I29" s="735" t="inlineStr">
        <is>
          <t>SAT ONLY</t>
        </is>
      </c>
      <c r="J29" s="607" t="n"/>
      <c r="K29" s="607" t="n"/>
      <c r="L29" s="607" t="n"/>
      <c r="M29" s="608" t="n"/>
      <c r="N29" s="699" t="inlineStr">
        <is>
          <t>OK</t>
        </is>
      </c>
      <c r="O29" s="664" t="n"/>
      <c r="P29" s="664" t="n"/>
      <c r="Q29" s="664" t="n"/>
      <c r="R29" s="664" t="n"/>
      <c r="S29" s="665" t="n"/>
    </row>
    <row r="30" ht="25.15" customHeight="1" thickBot="1">
      <c r="A30" s="606">
        <f>'Finding Report'!A30</f>
        <v/>
      </c>
      <c r="B30" s="607" t="n"/>
      <c r="C30" s="607" t="n"/>
      <c r="D30" s="607" t="n"/>
      <c r="E30" s="608" t="n"/>
      <c r="F30" s="734">
        <f>'Finding Report'!F30</f>
        <v/>
      </c>
      <c r="G30" s="607" t="n"/>
      <c r="H30" s="608" t="n"/>
      <c r="I30" s="735" t="inlineStr">
        <is>
          <t>SAT ONLY</t>
        </is>
      </c>
      <c r="J30" s="607" t="n"/>
      <c r="K30" s="607" t="n"/>
      <c r="L30" s="607" t="n"/>
      <c r="M30" s="608" t="n"/>
      <c r="N30" s="699" t="inlineStr">
        <is>
          <t>OK</t>
        </is>
      </c>
      <c r="O30" s="664" t="n"/>
      <c r="P30" s="664" t="n"/>
      <c r="Q30" s="664" t="n"/>
      <c r="R30" s="664" t="n"/>
      <c r="S30" s="665" t="n"/>
    </row>
    <row r="31" ht="25.15" customHeight="1" thickBot="1">
      <c r="A31" s="606">
        <f>'Finding Report'!A31</f>
        <v/>
      </c>
      <c r="B31" s="607" t="n"/>
      <c r="C31" s="607" t="n"/>
      <c r="D31" s="607" t="n"/>
      <c r="E31" s="608" t="n"/>
      <c r="F31" s="734">
        <f>'Finding Report'!F31</f>
        <v/>
      </c>
      <c r="G31" s="607" t="n"/>
      <c r="H31" s="608" t="n"/>
      <c r="I31" s="735" t="inlineStr">
        <is>
          <t>SAT ONLY</t>
        </is>
      </c>
      <c r="J31" s="607" t="n"/>
      <c r="K31" s="607" t="n"/>
      <c r="L31" s="607" t="n"/>
      <c r="M31" s="608" t="n"/>
      <c r="N31" s="699" t="inlineStr">
        <is>
          <t>OK</t>
        </is>
      </c>
      <c r="O31" s="664" t="n"/>
      <c r="P31" s="664" t="n"/>
      <c r="Q31" s="664" t="n"/>
      <c r="R31" s="664" t="n"/>
      <c r="S31" s="665" t="n"/>
    </row>
    <row r="32" ht="25.15" customHeight="1" thickBot="1">
      <c r="A32" s="606">
        <f>'Finding Report'!A32</f>
        <v/>
      </c>
      <c r="B32" s="607" t="n"/>
      <c r="C32" s="607" t="n"/>
      <c r="D32" s="607" t="n"/>
      <c r="E32" s="608" t="n"/>
      <c r="F32" s="734">
        <f>'Finding Report'!F32</f>
        <v/>
      </c>
      <c r="G32" s="607" t="n"/>
      <c r="H32" s="608" t="n"/>
      <c r="I32" s="735" t="inlineStr">
        <is>
          <t>SAT ONLY</t>
        </is>
      </c>
      <c r="J32" s="607" t="n"/>
      <c r="K32" s="607" t="n"/>
      <c r="L32" s="607" t="n"/>
      <c r="M32" s="608" t="n"/>
      <c r="N32" s="699" t="inlineStr">
        <is>
          <t>OK</t>
        </is>
      </c>
      <c r="O32" s="664" t="n"/>
      <c r="P32" s="664" t="n"/>
      <c r="Q32" s="664" t="n"/>
      <c r="R32" s="664" t="n"/>
      <c r="S32" s="665" t="n"/>
    </row>
    <row r="33" ht="25.15" customHeight="1" thickBot="1">
      <c r="A33" s="606">
        <f>'Finding Report'!A33</f>
        <v/>
      </c>
      <c r="B33" s="607" t="n"/>
      <c r="C33" s="607" t="n"/>
      <c r="D33" s="607" t="n"/>
      <c r="E33" s="608" t="n"/>
      <c r="F33" s="734">
        <f>'Finding Report'!F33</f>
        <v/>
      </c>
      <c r="G33" s="607" t="n"/>
      <c r="H33" s="608" t="n"/>
      <c r="I33" s="735" t="inlineStr">
        <is>
          <t>SAT ONLY</t>
        </is>
      </c>
      <c r="J33" s="607" t="n"/>
      <c r="K33" s="607" t="n"/>
      <c r="L33" s="607" t="n"/>
      <c r="M33" s="608" t="n"/>
      <c r="N33" s="699" t="inlineStr">
        <is>
          <t>OK</t>
        </is>
      </c>
      <c r="O33" s="664" t="n"/>
      <c r="P33" s="664" t="n"/>
      <c r="Q33" s="664" t="n"/>
      <c r="R33" s="664" t="n"/>
      <c r="S33" s="665" t="n"/>
    </row>
    <row r="34" ht="25.15" customHeight="1" thickBot="1">
      <c r="A34" s="606">
        <f>'Finding Report'!A35</f>
        <v/>
      </c>
      <c r="B34" s="607" t="n"/>
      <c r="C34" s="607" t="n"/>
      <c r="D34" s="607" t="n"/>
      <c r="E34" s="608" t="n"/>
      <c r="F34" s="734">
        <f>'Finding Report'!F35</f>
        <v/>
      </c>
      <c r="G34" s="607" t="n"/>
      <c r="H34" s="608" t="n"/>
      <c r="I34" s="735" t="inlineStr">
        <is>
          <t>SAT ONLY</t>
        </is>
      </c>
      <c r="J34" s="607" t="n"/>
      <c r="K34" s="607" t="n"/>
      <c r="L34" s="607" t="n"/>
      <c r="M34" s="608" t="n"/>
      <c r="N34" s="699" t="inlineStr">
        <is>
          <t>OK</t>
        </is>
      </c>
      <c r="O34" s="664" t="n"/>
      <c r="P34" s="664" t="n"/>
      <c r="Q34" s="664" t="n"/>
      <c r="R34" s="664" t="n"/>
      <c r="S34" s="665" t="n"/>
    </row>
    <row r="35" ht="24" customHeight="1" thickBot="1">
      <c r="A35" s="623" t="inlineStr">
        <is>
          <t>PRE-TEST (HYDROTEST/LEAKED TEST) - AS RECEIVED</t>
        </is>
      </c>
      <c r="B35" s="621" t="n"/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  <c r="N35" s="621" t="n"/>
      <c r="O35" s="621" t="n"/>
      <c r="P35" s="621" t="n"/>
      <c r="Q35" s="621" t="n"/>
      <c r="R35" s="621" t="n"/>
      <c r="S35" s="613" t="n"/>
    </row>
    <row r="36" ht="24" customHeight="1" thickBot="1">
      <c r="A36" s="677" t="inlineStr">
        <is>
          <t>TYPE OF TEST</t>
        </is>
      </c>
      <c r="B36" s="678" t="n"/>
      <c r="C36" s="678" t="n"/>
      <c r="D36" s="678" t="n"/>
      <c r="E36" s="678" t="n"/>
      <c r="F36" s="679" t="n"/>
      <c r="G36" s="680">
        <f>'Finding Report'!G37</f>
        <v/>
      </c>
      <c r="H36" s="678" t="n"/>
      <c r="I36" s="678" t="n"/>
      <c r="J36" s="679" t="n"/>
      <c r="K36" s="677" t="inlineStr">
        <is>
          <t>TEST MEDIUM</t>
        </is>
      </c>
      <c r="L36" s="678" t="n"/>
      <c r="M36" s="678" t="n"/>
      <c r="N36" s="679" t="n"/>
      <c r="O36" s="333">
        <f>'Finding Report'!O37</f>
        <v/>
      </c>
      <c r="P36" s="678" t="n"/>
      <c r="Q36" s="678" t="n"/>
      <c r="R36" s="678" t="n"/>
      <c r="S36" s="679" t="n"/>
    </row>
    <row r="37" ht="24" customHeight="1" thickBot="1">
      <c r="A37" s="334" t="inlineStr">
        <is>
          <t>DESCRIPTION</t>
        </is>
      </c>
      <c r="B37" s="678" t="n"/>
      <c r="C37" s="678" t="n"/>
      <c r="D37" s="678" t="n"/>
      <c r="E37" s="678" t="n"/>
      <c r="F37" s="681" t="n"/>
      <c r="G37" s="337" t="inlineStr">
        <is>
          <t>PRESSURE</t>
        </is>
      </c>
      <c r="H37" s="678" t="n"/>
      <c r="I37" s="678" t="n"/>
      <c r="J37" s="681" t="n"/>
      <c r="K37" s="313" t="inlineStr">
        <is>
          <t>DURATION</t>
        </is>
      </c>
      <c r="L37" s="678" t="n"/>
      <c r="M37" s="678" t="n"/>
      <c r="N37" s="681" t="n"/>
      <c r="O37" s="337" t="inlineStr">
        <is>
          <t>RESULT &amp; REMARKS</t>
        </is>
      </c>
      <c r="P37" s="678" t="n"/>
      <c r="Q37" s="678" t="n"/>
      <c r="R37" s="678" t="n"/>
      <c r="S37" s="681" t="n"/>
    </row>
    <row r="38" ht="24" customHeight="1">
      <c r="A38" s="58" t="inlineStr">
        <is>
          <t>A</t>
        </is>
      </c>
      <c r="B38" s="339" t="inlineStr">
        <is>
          <t>SHELL</t>
        </is>
      </c>
      <c r="C38" s="682" t="n"/>
      <c r="D38" s="682" t="n"/>
      <c r="E38" s="682" t="n"/>
      <c r="F38" s="683" t="n"/>
      <c r="G38" s="414" t="inlineStr">
        <is>
          <t>150 BAR</t>
        </is>
      </c>
      <c r="H38" s="682" t="n"/>
      <c r="I38" s="682" t="n"/>
      <c r="J38" s="683" t="n"/>
      <c r="K38" s="436" t="inlineStr">
        <is>
          <t>1MIN</t>
        </is>
      </c>
      <c r="L38" s="682" t="n"/>
      <c r="M38" s="682" t="n"/>
      <c r="N38" s="683" t="n"/>
      <c r="O38" s="414" t="inlineStr">
        <is>
          <t>NO LEAK/PRESSURE DROP-ACCEPTED</t>
        </is>
      </c>
      <c r="P38" s="682" t="n"/>
      <c r="Q38" s="682" t="n"/>
      <c r="R38" s="682" t="n"/>
      <c r="S38" s="683" t="n"/>
    </row>
    <row r="39" ht="24" customHeight="1">
      <c r="A39" s="56" t="inlineStr">
        <is>
          <t>B</t>
        </is>
      </c>
      <c r="B39" s="342" t="inlineStr">
        <is>
          <t>BACKSEAT</t>
        </is>
      </c>
      <c r="C39" s="687" t="n"/>
      <c r="D39" s="687" t="n"/>
      <c r="E39" s="687" t="n"/>
      <c r="F39" s="688" t="n"/>
      <c r="G39" s="414" t="inlineStr">
        <is>
          <t>110 BAR</t>
        </is>
      </c>
      <c r="H39" s="682" t="n"/>
      <c r="I39" s="682" t="n"/>
      <c r="J39" s="683" t="n"/>
      <c r="K39" s="436" t="inlineStr">
        <is>
          <t>1MIN</t>
        </is>
      </c>
      <c r="L39" s="682" t="n"/>
      <c r="M39" s="682" t="n"/>
      <c r="N39" s="683" t="n"/>
      <c r="O39" s="414" t="inlineStr">
        <is>
          <t>NO LEAK/PRESSURE DROP-ACCEPTED</t>
        </is>
      </c>
      <c r="P39" s="682" t="n"/>
      <c r="Q39" s="682" t="n"/>
      <c r="R39" s="682" t="n"/>
      <c r="S39" s="683" t="n"/>
    </row>
    <row r="40" ht="24" customHeight="1">
      <c r="A40" s="59" t="inlineStr">
        <is>
          <t>C</t>
        </is>
      </c>
      <c r="B40" s="345" t="inlineStr">
        <is>
          <t>SEAT A</t>
        </is>
      </c>
      <c r="C40" s="691" t="n"/>
      <c r="D40" s="691" t="n"/>
      <c r="E40" s="691" t="n"/>
      <c r="F40" s="692" t="n"/>
      <c r="G40" s="414" t="inlineStr">
        <is>
          <t>110 BAR</t>
        </is>
      </c>
      <c r="H40" s="682" t="n"/>
      <c r="I40" s="682" t="n"/>
      <c r="J40" s="683" t="n"/>
      <c r="K40" s="436" t="inlineStr">
        <is>
          <t>1MIN</t>
        </is>
      </c>
      <c r="L40" s="682" t="n"/>
      <c r="M40" s="682" t="n"/>
      <c r="N40" s="683" t="n"/>
      <c r="O40" s="414" t="inlineStr">
        <is>
          <t>NO LEAK/PRESSURE DROP-ACCEPTED</t>
        </is>
      </c>
      <c r="P40" s="682" t="n"/>
      <c r="Q40" s="682" t="n"/>
      <c r="R40" s="682" t="n"/>
      <c r="S40" s="683" t="n"/>
    </row>
    <row r="41" ht="24" customHeight="1" thickBot="1">
      <c r="A41" s="57" t="inlineStr">
        <is>
          <t>D</t>
        </is>
      </c>
      <c r="B41" s="345" t="inlineStr">
        <is>
          <t>SEAT B</t>
        </is>
      </c>
      <c r="C41" s="691" t="n"/>
      <c r="D41" s="691" t="n"/>
      <c r="E41" s="691" t="n"/>
      <c r="F41" s="692" t="n"/>
      <c r="G41" s="414" t="inlineStr">
        <is>
          <t>110 BAR</t>
        </is>
      </c>
      <c r="H41" s="682" t="n"/>
      <c r="I41" s="682" t="n"/>
      <c r="J41" s="683" t="n"/>
      <c r="K41" s="436" t="inlineStr">
        <is>
          <t>1MIN</t>
        </is>
      </c>
      <c r="L41" s="682" t="n"/>
      <c r="M41" s="682" t="n"/>
      <c r="N41" s="683" t="n"/>
      <c r="O41" s="414" t="inlineStr">
        <is>
          <t>NO LEAK/PRESSURE DROP-ACCEPTED</t>
        </is>
      </c>
      <c r="P41" s="682" t="n"/>
      <c r="Q41" s="682" t="n"/>
      <c r="R41" s="682" t="n"/>
      <c r="S41" s="683" t="n"/>
    </row>
    <row r="42" ht="24" customHeight="1" thickBot="1">
      <c r="A42" s="273" t="inlineStr">
        <is>
          <t>TEST ACCORDANCE TO</t>
        </is>
      </c>
      <c r="B42" s="678" t="n"/>
      <c r="C42" s="678" t="n"/>
      <c r="D42" s="678" t="n"/>
      <c r="E42" s="678" t="n"/>
      <c r="F42" s="681" t="n"/>
      <c r="G42" s="273" t="inlineStr">
        <is>
          <t>API 598</t>
        </is>
      </c>
      <c r="H42" s="678" t="n"/>
      <c r="I42" s="678" t="n"/>
      <c r="J42" s="678" t="n"/>
      <c r="K42" s="678" t="n"/>
      <c r="L42" s="678" t="n"/>
      <c r="M42" s="678" t="n"/>
      <c r="N42" s="678" t="n"/>
      <c r="O42" s="678" t="n"/>
      <c r="P42" s="678" t="n"/>
      <c r="Q42" s="678" t="n"/>
      <c r="R42" s="678" t="n"/>
      <c r="S42" s="681" t="n"/>
    </row>
    <row r="43" ht="24" customHeight="1" thickBot="1">
      <c r="A43" s="707" t="inlineStr">
        <is>
          <t>INTERNAL PARTS INSPECTION &amp; SERVICES</t>
        </is>
      </c>
      <c r="B43" s="678" t="n"/>
      <c r="C43" s="678" t="n"/>
      <c r="D43" s="678" t="n"/>
      <c r="E43" s="678" t="n"/>
      <c r="F43" s="678" t="n"/>
      <c r="G43" s="678" t="n"/>
      <c r="H43" s="678" t="n"/>
      <c r="I43" s="678" t="n"/>
      <c r="J43" s="678" t="n"/>
      <c r="K43" s="678" t="n"/>
      <c r="L43" s="678" t="n"/>
      <c r="M43" s="678" t="n"/>
      <c r="N43" s="678" t="n"/>
      <c r="O43" s="678" t="n"/>
      <c r="P43" s="678" t="n"/>
      <c r="Q43" s="678" t="n"/>
      <c r="R43" s="678" t="n"/>
      <c r="S43" s="679" t="n"/>
    </row>
    <row r="44" ht="24" customHeight="1" thickBot="1">
      <c r="A44" s="723" t="inlineStr">
        <is>
          <t>DESCRIPTION</t>
        </is>
      </c>
      <c r="B44" s="724" t="n"/>
      <c r="C44" s="724" t="n"/>
      <c r="D44" s="724" t="n"/>
      <c r="E44" s="725" t="n"/>
      <c r="F44" s="726" t="inlineStr">
        <is>
          <t>CONDITION</t>
        </is>
      </c>
      <c r="G44" s="724" t="n"/>
      <c r="H44" s="725" t="n"/>
      <c r="I44" s="726" t="inlineStr">
        <is>
          <t>ACTION</t>
        </is>
      </c>
      <c r="J44" s="724" t="n"/>
      <c r="K44" s="724" t="n"/>
      <c r="L44" s="724" t="n"/>
      <c r="M44" s="725" t="n"/>
      <c r="N44" s="726" t="inlineStr">
        <is>
          <t>REMARK</t>
        </is>
      </c>
      <c r="O44" s="724" t="n"/>
      <c r="P44" s="724" t="n"/>
      <c r="Q44" s="724" t="n"/>
      <c r="R44" s="724" t="n"/>
      <c r="S44" s="725" t="n"/>
    </row>
    <row r="45" ht="24" customHeight="1" thickBot="1">
      <c r="A45" s="606">
        <f>'Finding Report'!A45</f>
        <v/>
      </c>
      <c r="B45" s="607" t="n"/>
      <c r="C45" s="607" t="n"/>
      <c r="D45" s="607" t="n"/>
      <c r="E45" s="608" t="n"/>
      <c r="F45" s="736" t="inlineStr">
        <is>
          <t>NO SERVICING- SAT ONLY</t>
        </is>
      </c>
      <c r="G45" s="601" t="n"/>
      <c r="H45" s="601" t="n"/>
      <c r="I45" s="601" t="n"/>
      <c r="J45" s="601" t="n"/>
      <c r="K45" s="601" t="n"/>
      <c r="L45" s="601" t="n"/>
      <c r="M45" s="601" t="n"/>
      <c r="N45" s="601" t="n"/>
      <c r="O45" s="601" t="n"/>
      <c r="P45" s="601" t="n"/>
      <c r="Q45" s="601" t="n"/>
      <c r="R45" s="601" t="n"/>
      <c r="S45" s="602" t="n"/>
    </row>
    <row r="46" ht="24" customHeight="1" thickBot="1">
      <c r="A46" s="606">
        <f>'Finding Report'!A46</f>
        <v/>
      </c>
      <c r="B46" s="607" t="n"/>
      <c r="C46" s="607" t="n"/>
      <c r="D46" s="607" t="n"/>
      <c r="E46" s="608" t="n"/>
      <c r="F46" s="644" t="n"/>
      <c r="S46" s="645" t="n"/>
    </row>
    <row r="47" ht="24" customHeight="1" thickBot="1">
      <c r="A47" s="606">
        <f>'Finding Report'!A47</f>
        <v/>
      </c>
      <c r="B47" s="607" t="n"/>
      <c r="C47" s="607" t="n"/>
      <c r="D47" s="607" t="n"/>
      <c r="E47" s="608" t="n"/>
      <c r="F47" s="644" t="n"/>
      <c r="S47" s="645" t="n"/>
    </row>
    <row r="48" ht="24" customHeight="1" thickBot="1">
      <c r="A48" s="606">
        <f>'Finding Report'!A48</f>
        <v/>
      </c>
      <c r="B48" s="607" t="n"/>
      <c r="C48" s="607" t="n"/>
      <c r="D48" s="607" t="n"/>
      <c r="E48" s="608" t="n"/>
      <c r="F48" s="644" t="n"/>
      <c r="S48" s="645" t="n"/>
    </row>
    <row r="49" ht="24" customHeight="1" thickBot="1">
      <c r="A49" s="606">
        <f>'Finding Report'!A49</f>
        <v/>
      </c>
      <c r="B49" s="607" t="n"/>
      <c r="C49" s="607" t="n"/>
      <c r="D49" s="607" t="n"/>
      <c r="E49" s="608" t="n"/>
      <c r="F49" s="644" t="n"/>
      <c r="S49" s="645" t="n"/>
    </row>
    <row r="50" ht="24" customHeight="1" thickBot="1">
      <c r="A50" s="606">
        <f>'Finding Report'!A50</f>
        <v/>
      </c>
      <c r="B50" s="607" t="n"/>
      <c r="C50" s="607" t="n"/>
      <c r="D50" s="607" t="n"/>
      <c r="E50" s="608" t="n"/>
      <c r="F50" s="644" t="n"/>
      <c r="S50" s="645" t="n"/>
    </row>
    <row r="51" ht="24" customHeight="1" thickBot="1">
      <c r="A51" s="606">
        <f>'Finding Report'!A51</f>
        <v/>
      </c>
      <c r="B51" s="607" t="n"/>
      <c r="C51" s="607" t="n"/>
      <c r="D51" s="607" t="n"/>
      <c r="E51" s="608" t="n"/>
      <c r="F51" s="644" t="n"/>
      <c r="S51" s="645" t="n"/>
    </row>
    <row r="52" ht="24" customHeight="1" thickBot="1">
      <c r="A52" s="606">
        <f>'Finding Report'!A52</f>
        <v/>
      </c>
      <c r="B52" s="607" t="n"/>
      <c r="C52" s="607" t="n"/>
      <c r="D52" s="607" t="n"/>
      <c r="E52" s="608" t="n"/>
      <c r="F52" s="644" t="n"/>
      <c r="S52" s="645" t="n"/>
    </row>
    <row r="53" ht="24" customHeight="1" thickBot="1">
      <c r="A53" s="606">
        <f>'Finding Report'!A53</f>
        <v/>
      </c>
      <c r="B53" s="607" t="n"/>
      <c r="C53" s="607" t="n"/>
      <c r="D53" s="607" t="n"/>
      <c r="E53" s="608" t="n"/>
      <c r="F53" s="644" t="n"/>
      <c r="S53" s="645" t="n"/>
    </row>
    <row r="54" ht="24" customHeight="1" thickBot="1">
      <c r="A54" s="606">
        <f>'Finding Report'!A54</f>
        <v/>
      </c>
      <c r="B54" s="607" t="n"/>
      <c r="C54" s="607" t="n"/>
      <c r="D54" s="607" t="n"/>
      <c r="E54" s="608" t="n"/>
      <c r="F54" s="644" t="n"/>
      <c r="S54" s="645" t="n"/>
    </row>
    <row r="55" ht="24" customHeight="1" thickBot="1">
      <c r="A55" s="606">
        <f>'Finding Report'!A55</f>
        <v/>
      </c>
      <c r="B55" s="607" t="n"/>
      <c r="C55" s="607" t="n"/>
      <c r="D55" s="607" t="n"/>
      <c r="E55" s="608" t="n"/>
      <c r="F55" s="644" t="n"/>
      <c r="S55" s="645" t="n"/>
    </row>
    <row r="56" ht="24" customHeight="1" thickBot="1">
      <c r="A56" s="606">
        <f>'Finding Report'!A56</f>
        <v/>
      </c>
      <c r="B56" s="607" t="n"/>
      <c r="C56" s="607" t="n"/>
      <c r="D56" s="607" t="n"/>
      <c r="E56" s="608" t="n"/>
      <c r="F56" s="644" t="n"/>
      <c r="S56" s="645" t="n"/>
    </row>
    <row r="57" ht="24" customHeight="1" thickBot="1">
      <c r="A57" s="727">
        <f>'Finding Report'!A57</f>
        <v/>
      </c>
      <c r="B57" s="607" t="n"/>
      <c r="C57" s="607" t="n"/>
      <c r="D57" s="607" t="n"/>
      <c r="E57" s="608" t="n"/>
      <c r="F57" s="644" t="n"/>
      <c r="S57" s="645" t="n"/>
    </row>
    <row r="58" ht="24" customHeight="1" thickBot="1">
      <c r="A58" s="727">
        <f>'Finding Report'!A58</f>
        <v/>
      </c>
      <c r="B58" s="607" t="n"/>
      <c r="C58" s="607" t="n"/>
      <c r="D58" s="607" t="n"/>
      <c r="E58" s="608" t="n"/>
      <c r="F58" s="644" t="n"/>
      <c r="S58" s="645" t="n"/>
    </row>
    <row r="59" ht="24" customHeight="1" thickBot="1">
      <c r="A59" s="727" t="n"/>
      <c r="B59" s="607" t="n"/>
      <c r="C59" s="607" t="n"/>
      <c r="D59" s="607" t="n"/>
      <c r="E59" s="608" t="n"/>
      <c r="F59" s="644" t="n"/>
      <c r="S59" s="645" t="n"/>
    </row>
    <row r="60" ht="24" customHeight="1" thickBot="1">
      <c r="A60" s="727">
        <f>'Finding Report'!A59</f>
        <v/>
      </c>
      <c r="B60" s="607" t="n"/>
      <c r="C60" s="607" t="n"/>
      <c r="D60" s="607" t="n"/>
      <c r="E60" s="608" t="n"/>
      <c r="F60" s="644" t="n"/>
      <c r="S60" s="645" t="n"/>
    </row>
    <row r="61" ht="24" customHeight="1" thickBot="1">
      <c r="A61" s="727">
        <f>'Finding Report'!A60</f>
        <v/>
      </c>
      <c r="B61" s="607" t="n"/>
      <c r="C61" s="607" t="n"/>
      <c r="D61" s="607" t="n"/>
      <c r="E61" s="608" t="n"/>
      <c r="F61" s="737" t="n"/>
      <c r="G61" s="143" t="n"/>
      <c r="H61" s="143" t="n"/>
      <c r="I61" s="143" t="n"/>
      <c r="J61" s="143" t="n"/>
      <c r="K61" s="143" t="n"/>
      <c r="L61" s="143" t="n"/>
      <c r="M61" s="143" t="n"/>
      <c r="N61" s="143" t="n"/>
      <c r="O61" s="143" t="n"/>
      <c r="P61" s="143" t="n"/>
      <c r="Q61" s="143" t="n"/>
      <c r="R61" s="143" t="n"/>
      <c r="S61" s="738" t="n"/>
    </row>
    <row r="62" ht="24" customHeight="1" thickBot="1">
      <c r="A62" s="623" t="inlineStr">
        <is>
          <t>FINAL TEST (HYDROTEST/LEAKED TEST) - AFTER SERVICING</t>
        </is>
      </c>
      <c r="B62" s="621" t="n"/>
      <c r="C62" s="621" t="n"/>
      <c r="D62" s="621" t="n"/>
      <c r="E62" s="621" t="n"/>
      <c r="F62" s="621" t="n"/>
      <c r="G62" s="621" t="n"/>
      <c r="H62" s="621" t="n"/>
      <c r="I62" s="621" t="n"/>
      <c r="J62" s="621" t="n"/>
      <c r="K62" s="621" t="n"/>
      <c r="L62" s="621" t="n"/>
      <c r="M62" s="621" t="n"/>
      <c r="N62" s="621" t="n"/>
      <c r="O62" s="621" t="n"/>
      <c r="P62" s="621" t="n"/>
      <c r="Q62" s="621" t="n"/>
      <c r="R62" s="621" t="n"/>
      <c r="S62" s="613" t="n"/>
    </row>
    <row r="63" ht="24" customHeight="1" thickBot="1">
      <c r="A63" s="677" t="inlineStr">
        <is>
          <t>TYPE OF TEST</t>
        </is>
      </c>
      <c r="B63" s="678" t="n"/>
      <c r="C63" s="678" t="n"/>
      <c r="D63" s="678" t="n"/>
      <c r="E63" s="678" t="n"/>
      <c r="F63" s="679" t="n"/>
      <c r="G63" s="271" t="inlineStr">
        <is>
          <t>HYDROTEST</t>
        </is>
      </c>
      <c r="H63" s="678" t="n"/>
      <c r="I63" s="678" t="n"/>
      <c r="J63" s="678" t="n"/>
      <c r="K63" s="739" t="inlineStr">
        <is>
          <t>TEST MEDIUM</t>
        </is>
      </c>
      <c r="L63" s="678" t="n"/>
      <c r="M63" s="678" t="n"/>
      <c r="N63" s="679" t="n"/>
      <c r="O63" s="272" t="inlineStr">
        <is>
          <t>WATER</t>
        </is>
      </c>
      <c r="P63" s="678" t="n"/>
      <c r="Q63" s="678" t="n"/>
      <c r="R63" s="678" t="n"/>
      <c r="S63" s="679" t="n"/>
    </row>
    <row r="64" ht="24" customHeight="1" thickBot="1">
      <c r="A64" s="334" t="inlineStr">
        <is>
          <t>DECRIPTION</t>
        </is>
      </c>
      <c r="B64" s="678" t="n"/>
      <c r="C64" s="678" t="n"/>
      <c r="D64" s="678" t="n"/>
      <c r="E64" s="678" t="n"/>
      <c r="F64" s="681" t="n"/>
      <c r="G64" s="337" t="inlineStr">
        <is>
          <t>PRESSURE</t>
        </is>
      </c>
      <c r="H64" s="678" t="n"/>
      <c r="I64" s="678" t="n"/>
      <c r="J64" s="681" t="n"/>
      <c r="K64" s="313" t="inlineStr">
        <is>
          <t>DURATION</t>
        </is>
      </c>
      <c r="L64" s="678" t="n"/>
      <c r="M64" s="678" t="n"/>
      <c r="N64" s="681" t="n"/>
      <c r="O64" s="337" t="inlineStr">
        <is>
          <t>RESULT &amp; REMARKS</t>
        </is>
      </c>
      <c r="P64" s="678" t="n"/>
      <c r="Q64" s="678" t="n"/>
      <c r="R64" s="678" t="n"/>
      <c r="S64" s="681" t="n"/>
    </row>
    <row r="65" ht="24" customHeight="1">
      <c r="A65" s="58" t="inlineStr">
        <is>
          <t>A</t>
        </is>
      </c>
      <c r="B65" s="339" t="inlineStr">
        <is>
          <t>SHELL</t>
        </is>
      </c>
      <c r="C65" s="682" t="n"/>
      <c r="D65" s="682" t="n"/>
      <c r="E65" s="682" t="n"/>
      <c r="F65" s="683" t="n"/>
      <c r="G65" s="414" t="inlineStr">
        <is>
          <t>11 bar</t>
        </is>
      </c>
      <c r="H65" s="682" t="n"/>
      <c r="I65" s="682" t="n"/>
      <c r="J65" s="683" t="n"/>
      <c r="K65" s="684" t="inlineStr">
        <is>
          <t>10 minutes</t>
        </is>
      </c>
      <c r="L65" s="685" t="n"/>
      <c r="M65" s="685" t="n"/>
      <c r="N65" s="686" t="n"/>
      <c r="O65" s="414" t="inlineStr">
        <is>
          <t>NO LEAK &amp; ACCEPTED</t>
        </is>
      </c>
      <c r="P65" s="682" t="n"/>
      <c r="Q65" s="682" t="n"/>
      <c r="R65" s="682" t="n"/>
      <c r="S65" s="683" t="n"/>
    </row>
    <row r="66" ht="24" customHeight="1">
      <c r="A66" s="56" t="inlineStr">
        <is>
          <t>B</t>
        </is>
      </c>
      <c r="B66" s="342" t="inlineStr">
        <is>
          <t>BACKSEAT</t>
        </is>
      </c>
      <c r="C66" s="687" t="n"/>
      <c r="D66" s="687" t="n"/>
      <c r="E66" s="687" t="n"/>
      <c r="F66" s="688" t="n"/>
      <c r="G66" s="414" t="inlineStr">
        <is>
          <t>12 bar</t>
        </is>
      </c>
      <c r="H66" s="682" t="n"/>
      <c r="I66" s="682" t="n"/>
      <c r="J66" s="683" t="n"/>
      <c r="K66" s="689" t="inlineStr">
        <is>
          <t>120 minutes</t>
        </is>
      </c>
      <c r="L66" s="687" t="n"/>
      <c r="M66" s="687" t="n"/>
      <c r="N66" s="690" t="n"/>
      <c r="O66" s="417" t="inlineStr">
        <is>
          <t>NO LEAK &amp; ACCEPTED</t>
        </is>
      </c>
      <c r="P66" s="687" t="n"/>
      <c r="Q66" s="687" t="n"/>
      <c r="R66" s="687" t="n"/>
      <c r="S66" s="688" t="n"/>
    </row>
    <row r="67" ht="24" customHeight="1" thickBot="1">
      <c r="A67" s="57" t="inlineStr">
        <is>
          <t>C</t>
        </is>
      </c>
      <c r="B67" s="345" t="inlineStr">
        <is>
          <t>SEAT A</t>
        </is>
      </c>
      <c r="C67" s="691" t="n"/>
      <c r="D67" s="691" t="n"/>
      <c r="E67" s="691" t="n"/>
      <c r="F67" s="692" t="n"/>
      <c r="G67" s="414" t="inlineStr">
        <is>
          <t>13 bar</t>
        </is>
      </c>
      <c r="H67" s="682" t="n"/>
      <c r="I67" s="682" t="n"/>
      <c r="J67" s="683" t="n"/>
      <c r="K67" s="689" t="inlineStr">
        <is>
          <t>11 minutes</t>
        </is>
      </c>
      <c r="L67" s="687" t="n"/>
      <c r="M67" s="687" t="n"/>
      <c r="N67" s="690" t="n"/>
      <c r="O67" s="420" t="inlineStr">
        <is>
          <t>NO LEAK &amp; ACCEPTED</t>
        </is>
      </c>
      <c r="P67" s="691" t="n"/>
      <c r="Q67" s="691" t="n"/>
      <c r="R67" s="691" t="n"/>
      <c r="S67" s="692" t="n"/>
    </row>
    <row r="68" ht="24" customHeight="1" thickBot="1">
      <c r="A68" s="57" t="inlineStr">
        <is>
          <t>D</t>
        </is>
      </c>
      <c r="B68" s="345" t="inlineStr">
        <is>
          <t>SEAT B</t>
        </is>
      </c>
      <c r="C68" s="691" t="n"/>
      <c r="D68" s="691" t="n"/>
      <c r="E68" s="691" t="n"/>
      <c r="F68" s="692" t="n"/>
      <c r="G68" s="414" t="inlineStr">
        <is>
          <t>N/A</t>
        </is>
      </c>
      <c r="H68" s="682" t="n"/>
      <c r="I68" s="682" t="n"/>
      <c r="J68" s="683" t="n"/>
      <c r="K68" s="689" t="inlineStr">
        <is>
          <t>N/A</t>
        </is>
      </c>
      <c r="L68" s="687" t="n"/>
      <c r="M68" s="687" t="n"/>
      <c r="N68" s="690" t="n"/>
      <c r="O68" s="420" t="inlineStr">
        <is>
          <t>NO LEAK &amp; ACCEPTED</t>
        </is>
      </c>
      <c r="P68" s="691" t="n"/>
      <c r="Q68" s="691" t="n"/>
      <c r="R68" s="691" t="n"/>
      <c r="S68" s="692" t="n"/>
    </row>
    <row r="69" ht="24" customHeight="1" thickBot="1">
      <c r="A69" s="273" t="inlineStr">
        <is>
          <t>TEST ACCORDANCE TO</t>
        </is>
      </c>
      <c r="B69" s="678" t="n"/>
      <c r="C69" s="678" t="n"/>
      <c r="D69" s="678" t="n"/>
      <c r="E69" s="678" t="n"/>
      <c r="F69" s="681" t="n"/>
      <c r="G69" s="273" t="inlineStr">
        <is>
          <t>API 598</t>
        </is>
      </c>
      <c r="H69" s="678" t="n"/>
      <c r="I69" s="678" t="n"/>
      <c r="J69" s="678" t="n"/>
      <c r="K69" s="678" t="n"/>
      <c r="L69" s="678" t="n"/>
      <c r="M69" s="678" t="n"/>
      <c r="N69" s="678" t="n"/>
      <c r="O69" s="678" t="n"/>
      <c r="P69" s="678" t="n"/>
      <c r="Q69" s="678" t="n"/>
      <c r="R69" s="678" t="n"/>
      <c r="S69" s="681" t="n"/>
    </row>
    <row r="70" ht="22.9" customFormat="1" customHeight="1" s="21" thickBot="1">
      <c r="A70" s="707" t="inlineStr">
        <is>
          <t xml:space="preserve">COMMENTS AND RECOMMENDATION </t>
        </is>
      </c>
      <c r="B70" s="678" t="n"/>
      <c r="C70" s="678" t="n"/>
      <c r="D70" s="678" t="n"/>
      <c r="E70" s="678" t="n"/>
      <c r="F70" s="678" t="n"/>
      <c r="G70" s="678" t="n"/>
      <c r="H70" s="678" t="n"/>
      <c r="I70" s="678" t="n"/>
      <c r="J70" s="678" t="n"/>
      <c r="K70" s="678" t="n"/>
      <c r="L70" s="678" t="n"/>
      <c r="M70" s="678" t="n"/>
      <c r="N70" s="678" t="n"/>
      <c r="O70" s="678" t="n"/>
      <c r="P70" s="678" t="n"/>
      <c r="Q70" s="678" t="n"/>
      <c r="R70" s="678" t="n"/>
      <c r="S70" s="679" t="n"/>
    </row>
    <row r="71" ht="23.25" customFormat="1" customHeight="1" s="21">
      <c r="A71" s="19" t="n"/>
      <c r="B71" s="369" t="inlineStr">
        <is>
          <t>Testing Only on the new gate valve. Valve was found in a good condition. No leak or pressure drop during each test. Valve was accepted and ready to be install.</t>
        </is>
      </c>
      <c r="C71" s="682" t="n"/>
      <c r="D71" s="682" t="n"/>
      <c r="E71" s="682" t="n"/>
      <c r="F71" s="682" t="n"/>
      <c r="G71" s="682" t="n"/>
      <c r="H71" s="682" t="n"/>
      <c r="I71" s="682" t="n"/>
      <c r="J71" s="682" t="n"/>
      <c r="K71" s="682" t="n"/>
      <c r="L71" s="682" t="n"/>
      <c r="M71" s="682" t="n"/>
      <c r="N71" s="682" t="n"/>
      <c r="O71" s="682" t="n"/>
      <c r="P71" s="682" t="n"/>
      <c r="Q71" s="682" t="n"/>
      <c r="R71" s="682" t="n"/>
      <c r="S71" s="20" t="n"/>
    </row>
    <row r="72" ht="23.25" customFormat="1" customHeight="1" s="21">
      <c r="A72" s="19" t="n"/>
      <c r="B72" s="370" t="n"/>
      <c r="C72" s="687" t="n"/>
      <c r="D72" s="687" t="n"/>
      <c r="E72" s="687" t="n"/>
      <c r="F72" s="687" t="n"/>
      <c r="G72" s="687" t="n"/>
      <c r="H72" s="687" t="n"/>
      <c r="I72" s="687" t="n"/>
      <c r="J72" s="687" t="n"/>
      <c r="K72" s="687" t="n"/>
      <c r="L72" s="687" t="n"/>
      <c r="M72" s="687" t="n"/>
      <c r="N72" s="687" t="n"/>
      <c r="O72" s="687" t="n"/>
      <c r="P72" s="687" t="n"/>
      <c r="Q72" s="687" t="n"/>
      <c r="R72" s="687" t="n"/>
      <c r="S72" s="20" t="n"/>
    </row>
    <row r="73" ht="23.25" customFormat="1" customHeight="1" s="21">
      <c r="A73" s="19" t="n"/>
      <c r="B73" s="369" t="n"/>
      <c r="C73" s="682" t="n"/>
      <c r="D73" s="682" t="n"/>
      <c r="E73" s="682" t="n"/>
      <c r="F73" s="682" t="n"/>
      <c r="G73" s="682" t="n"/>
      <c r="H73" s="682" t="n"/>
      <c r="I73" s="682" t="n"/>
      <c r="J73" s="682" t="n"/>
      <c r="K73" s="682" t="n"/>
      <c r="L73" s="682" t="n"/>
      <c r="M73" s="682" t="n"/>
      <c r="N73" s="682" t="n"/>
      <c r="O73" s="682" t="n"/>
      <c r="P73" s="682" t="n"/>
      <c r="Q73" s="682" t="n"/>
      <c r="R73" s="682" t="n"/>
      <c r="S73" s="20" t="n"/>
    </row>
    <row r="74" ht="23.25" customFormat="1" customHeight="1" s="21">
      <c r="A74" s="19" t="n"/>
      <c r="B74" s="369" t="n"/>
      <c r="C74" s="682" t="n"/>
      <c r="D74" s="682" t="n"/>
      <c r="E74" s="682" t="n"/>
      <c r="F74" s="682" t="n"/>
      <c r="G74" s="682" t="n"/>
      <c r="H74" s="682" t="n"/>
      <c r="I74" s="682" t="n"/>
      <c r="J74" s="682" t="n"/>
      <c r="K74" s="682" t="n"/>
      <c r="L74" s="682" t="n"/>
      <c r="M74" s="682" t="n"/>
      <c r="N74" s="682" t="n"/>
      <c r="O74" s="682" t="n"/>
      <c r="P74" s="682" t="n"/>
      <c r="Q74" s="682" t="n"/>
      <c r="R74" s="682" t="n"/>
      <c r="S74" s="20" t="n"/>
    </row>
    <row r="75" ht="23.25" customFormat="1" customHeight="1" s="21">
      <c r="A75" s="19" t="n"/>
      <c r="B75" s="369" t="n"/>
      <c r="C75" s="369" t="n"/>
      <c r="D75" s="369" t="n"/>
      <c r="E75" s="369" t="n"/>
      <c r="F75" s="369" t="n"/>
      <c r="G75" s="369" t="n"/>
      <c r="H75" s="369" t="n"/>
      <c r="I75" s="369" t="n"/>
      <c r="J75" s="369" t="n"/>
      <c r="K75" s="369" t="n"/>
      <c r="L75" s="369" t="n"/>
      <c r="M75" s="369" t="n"/>
      <c r="N75" s="369" t="n"/>
      <c r="O75" s="369" t="n"/>
      <c r="P75" s="369" t="n"/>
      <c r="Q75" s="369" t="n"/>
      <c r="R75" s="369" t="n"/>
      <c r="S75" s="20" t="n"/>
    </row>
    <row r="76" ht="23.25" customFormat="1" customHeight="1" s="21">
      <c r="A76" s="19" t="n"/>
      <c r="B76" s="369" t="n"/>
      <c r="C76" s="369" t="n"/>
      <c r="D76" s="369" t="n"/>
      <c r="E76" s="369" t="n"/>
      <c r="F76" s="369" t="n"/>
      <c r="G76" s="369" t="n"/>
      <c r="H76" s="369" t="n"/>
      <c r="I76" s="369" t="n"/>
      <c r="J76" s="369" t="n"/>
      <c r="K76" s="369" t="n"/>
      <c r="L76" s="369" t="n"/>
      <c r="M76" s="369" t="n"/>
      <c r="N76" s="369" t="n"/>
      <c r="O76" s="369" t="n"/>
      <c r="P76" s="369" t="n"/>
      <c r="Q76" s="369" t="n"/>
      <c r="R76" s="369" t="n"/>
      <c r="S76" s="20" t="n"/>
    </row>
    <row r="77" ht="23.25" customFormat="1" customHeight="1" s="21">
      <c r="A77" s="19" t="n"/>
      <c r="B77" s="369" t="n"/>
      <c r="C77" s="682" t="n"/>
      <c r="D77" s="682" t="n"/>
      <c r="E77" s="682" t="n"/>
      <c r="F77" s="682" t="n"/>
      <c r="G77" s="682" t="n"/>
      <c r="H77" s="682" t="n"/>
      <c r="I77" s="682" t="n"/>
      <c r="J77" s="682" t="n"/>
      <c r="K77" s="682" t="n"/>
      <c r="L77" s="682" t="n"/>
      <c r="M77" s="682" t="n"/>
      <c r="N77" s="682" t="n"/>
      <c r="O77" s="682" t="n"/>
      <c r="P77" s="682" t="n"/>
      <c r="Q77" s="682" t="n"/>
      <c r="R77" s="682" t="n"/>
      <c r="S77" s="20" t="n"/>
    </row>
    <row r="78" ht="23.25" customFormat="1" customHeight="1" s="21">
      <c r="A78" s="19" t="n"/>
      <c r="B78" s="437" t="n"/>
      <c r="C78" s="682" t="n"/>
      <c r="D78" s="682" t="n"/>
      <c r="E78" s="682" t="n"/>
      <c r="F78" s="682" t="n"/>
      <c r="G78" s="682" t="n"/>
      <c r="H78" s="682" t="n"/>
      <c r="I78" s="682" t="n"/>
      <c r="J78" s="682" t="n"/>
      <c r="K78" s="682" t="n"/>
      <c r="L78" s="682" t="n"/>
      <c r="M78" s="682" t="n"/>
      <c r="N78" s="682" t="n"/>
      <c r="O78" s="682" t="n"/>
      <c r="P78" s="682" t="n"/>
      <c r="Q78" s="682" t="n"/>
      <c r="R78" s="682" t="n"/>
      <c r="S78" s="20" t="n"/>
    </row>
    <row r="79" ht="24" customFormat="1" customHeight="1" s="21" thickBot="1">
      <c r="A79" s="22" t="n"/>
      <c r="B79" s="23" t="n"/>
      <c r="C79" s="23" t="n"/>
      <c r="D79" s="23" t="n"/>
      <c r="E79" s="23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5" t="n"/>
    </row>
    <row r="80" ht="16.15" customFormat="1" customHeight="1" s="21">
      <c r="A80" s="715" t="inlineStr">
        <is>
          <t>PREPARED BY</t>
        </is>
      </c>
      <c r="B80" s="705" t="n"/>
      <c r="C80" s="705" t="n"/>
      <c r="D80" s="705" t="n"/>
      <c r="E80" s="705" t="n"/>
      <c r="F80" s="706" t="n"/>
      <c r="G80" s="715" t="inlineStr">
        <is>
          <t>CLIENT REPRESENTATIVE</t>
        </is>
      </c>
      <c r="H80" s="705" t="n"/>
      <c r="I80" s="705" t="n"/>
      <c r="J80" s="705" t="n"/>
      <c r="K80" s="705" t="n"/>
      <c r="L80" s="706" t="n"/>
      <c r="M80" s="715" t="inlineStr">
        <is>
          <t>APPROVED BY</t>
        </is>
      </c>
      <c r="N80" s="705" t="n"/>
      <c r="O80" s="705" t="n"/>
      <c r="P80" s="705" t="n"/>
      <c r="Q80" s="705" t="n"/>
      <c r="R80" s="705" t="n"/>
      <c r="S80" s="706" t="n"/>
    </row>
    <row r="81" ht="16.9" customFormat="1" customHeight="1" s="21" thickBot="1">
      <c r="A81" s="716" t="n"/>
      <c r="B81" s="712" t="n"/>
      <c r="C81" s="712" t="n"/>
      <c r="D81" s="712" t="n"/>
      <c r="E81" s="712" t="n"/>
      <c r="F81" s="713" t="n"/>
      <c r="G81" s="716" t="n"/>
      <c r="H81" s="712" t="n"/>
      <c r="I81" s="712" t="n"/>
      <c r="J81" s="712" t="n"/>
      <c r="K81" s="712" t="n"/>
      <c r="L81" s="713" t="n"/>
      <c r="M81" s="716" t="n"/>
      <c r="N81" s="712" t="n"/>
      <c r="O81" s="712" t="n"/>
      <c r="P81" s="712" t="n"/>
      <c r="Q81" s="712" t="n"/>
      <c r="R81" s="712" t="n"/>
      <c r="S81" s="713" t="n"/>
    </row>
    <row r="82" ht="16.15" customFormat="1" customHeight="1" s="21">
      <c r="A82" s="34" t="n"/>
      <c r="B82" s="35" t="n"/>
      <c r="C82" s="35" t="n"/>
      <c r="D82" s="35" t="n"/>
      <c r="E82" s="35" t="n"/>
      <c r="F82" s="35" t="n"/>
      <c r="G82" s="36" t="inlineStr">
        <is>
          <t> </t>
        </is>
      </c>
      <c r="H82" s="37" t="n"/>
      <c r="I82" s="37" t="n"/>
      <c r="J82" s="37" t="n"/>
      <c r="K82" s="37" t="n"/>
      <c r="L82" s="20" t="inlineStr">
        <is>
          <t> </t>
        </is>
      </c>
      <c r="M82" s="381" t="n"/>
      <c r="N82" s="381" t="n"/>
      <c r="O82" s="381" t="n"/>
      <c r="P82" s="381" t="n"/>
      <c r="Q82" s="381" t="n"/>
      <c r="R82" s="381" t="n"/>
      <c r="S82" s="382" t="n"/>
    </row>
    <row r="83" ht="16.15" customFormat="1" customHeight="1" s="21">
      <c r="A83" s="38" t="n"/>
      <c r="B83" s="163" t="n"/>
      <c r="C83" s="163" t="n"/>
      <c r="D83" s="163" t="n"/>
      <c r="E83" s="163" t="n"/>
      <c r="F83" s="163" t="n"/>
      <c r="G83" s="36" t="n"/>
      <c r="H83" s="37" t="n"/>
      <c r="I83" s="37" t="n"/>
      <c r="J83" s="37" t="n"/>
      <c r="K83" s="37" t="n"/>
      <c r="L83" s="20" t="n"/>
      <c r="M83" s="37" t="n"/>
      <c r="N83" s="37" t="n"/>
      <c r="O83" s="37" t="n"/>
      <c r="P83" s="37" t="n"/>
      <c r="Q83" s="37" t="n"/>
      <c r="R83" s="37" t="n"/>
      <c r="S83" s="20" t="n"/>
    </row>
    <row r="84" ht="16.15" customFormat="1" customHeight="1" s="21">
      <c r="A84" s="38" t="n"/>
      <c r="B84" s="163" t="n"/>
      <c r="C84" s="163" t="n"/>
      <c r="D84" s="163" t="n"/>
      <c r="E84" s="163" t="n"/>
      <c r="F84" s="163" t="n"/>
      <c r="G84" s="36" t="n"/>
      <c r="H84" s="37" t="n"/>
      <c r="I84" s="37" t="n"/>
      <c r="J84" s="37" t="n"/>
      <c r="K84" s="37" t="n"/>
      <c r="L84" s="20" t="n"/>
      <c r="M84" s="37" t="n"/>
      <c r="N84" s="37" t="n"/>
      <c r="O84" s="37" t="n"/>
      <c r="P84" s="37" t="n"/>
      <c r="Q84" s="37" t="n"/>
      <c r="R84" s="37" t="n"/>
      <c r="S84" s="20" t="n"/>
    </row>
    <row r="85" ht="54" customFormat="1" customHeight="1" s="21">
      <c r="A85" s="38" t="n"/>
      <c r="B85" s="163" t="n"/>
      <c r="C85" s="163" t="n"/>
      <c r="D85" s="163" t="n"/>
      <c r="E85" s="163" t="n"/>
      <c r="F85" s="163" t="n"/>
      <c r="G85" s="36" t="n"/>
      <c r="H85" s="37" t="n"/>
      <c r="I85" s="37" t="n"/>
      <c r="J85" s="37" t="n"/>
      <c r="K85" s="37" t="n"/>
      <c r="L85" s="20" t="n"/>
      <c r="M85" s="37" t="n"/>
      <c r="N85" s="37" t="n"/>
      <c r="O85" s="37" t="n"/>
      <c r="P85" s="37" t="n"/>
      <c r="Q85" s="37" t="n"/>
      <c r="R85" s="37" t="n"/>
      <c r="S85" s="20" t="n"/>
    </row>
    <row r="86" ht="25.15" customFormat="1" customHeight="1" s="21">
      <c r="A86" s="38" t="inlineStr">
        <is>
          <t>NAME:</t>
        </is>
      </c>
      <c r="B86" s="164" t="n"/>
      <c r="C86" s="21" t="n"/>
      <c r="D86" s="21" t="n"/>
      <c r="E86" s="21" t="n"/>
      <c r="F86" s="654" t="n"/>
      <c r="G86" s="38" t="inlineStr">
        <is>
          <t>NAME:</t>
        </is>
      </c>
      <c r="H86" s="37" t="n"/>
      <c r="I86" s="37" t="n"/>
      <c r="J86" s="37" t="n"/>
      <c r="K86" s="37" t="n"/>
      <c r="L86" s="20" t="n"/>
      <c r="M86" s="38" t="inlineStr">
        <is>
          <t>NAME:</t>
        </is>
      </c>
      <c r="N86" s="37" t="n"/>
      <c r="O86" s="37" t="n"/>
      <c r="P86" s="37" t="n"/>
      <c r="Q86" s="37" t="n"/>
      <c r="R86" s="37" t="n"/>
      <c r="S86" s="20" t="n"/>
    </row>
    <row r="87" ht="27" customFormat="1" customHeight="1" s="21">
      <c r="A87" s="38" t="inlineStr">
        <is>
          <t>DATE:</t>
        </is>
      </c>
      <c r="B87" s="653">
        <f>TODAY()</f>
        <v/>
      </c>
      <c r="C87" s="21" t="n"/>
      <c r="D87" s="21" t="n"/>
      <c r="E87" s="21" t="n"/>
      <c r="F87" s="654" t="n"/>
      <c r="G87" s="38" t="inlineStr">
        <is>
          <t>DATE:</t>
        </is>
      </c>
      <c r="H87" s="37" t="n"/>
      <c r="I87" s="37" t="n"/>
      <c r="J87" s="37" t="n"/>
      <c r="K87" s="37" t="n"/>
      <c r="L87" s="20" t="n"/>
      <c r="M87" s="38" t="inlineStr">
        <is>
          <t>DATE:</t>
        </is>
      </c>
      <c r="N87" s="37" t="n"/>
      <c r="O87" s="37" t="n"/>
      <c r="P87" s="37" t="n"/>
      <c r="Q87" s="37" t="n"/>
      <c r="R87" s="37" t="n"/>
      <c r="S87" s="20" t="n"/>
    </row>
    <row r="88" ht="28.9" customFormat="1" customHeight="1" s="21" thickBot="1">
      <c r="A88" s="40" t="n"/>
      <c r="B88" s="41" t="n"/>
      <c r="C88" s="41" t="n"/>
      <c r="D88" s="41" t="n"/>
      <c r="E88" s="41" t="n"/>
      <c r="F88" s="41" t="n"/>
      <c r="G88" s="42" t="n"/>
      <c r="H88" s="24" t="n"/>
      <c r="I88" s="24" t="n"/>
      <c r="J88" s="24" t="n"/>
      <c r="K88" s="24" t="n"/>
      <c r="L88" s="25" t="n"/>
      <c r="M88" s="24" t="n"/>
      <c r="N88" s="24" t="n"/>
      <c r="O88" s="24" t="n"/>
      <c r="P88" s="24" t="n"/>
      <c r="Q88" s="24" t="n"/>
      <c r="R88" s="24" t="n"/>
      <c r="S88" s="25" t="n"/>
    </row>
  </sheetData>
  <mergeCells count="169">
    <mergeCell ref="I30:M30"/>
    <mergeCell ref="A48:E48"/>
    <mergeCell ref="A23:S23"/>
    <mergeCell ref="F33:H33"/>
    <mergeCell ref="O68:S68"/>
    <mergeCell ref="D19:H19"/>
    <mergeCell ref="A45:E45"/>
    <mergeCell ref="A21:C21"/>
    <mergeCell ref="B72:R72"/>
    <mergeCell ref="K38:N38"/>
    <mergeCell ref="O36:S36"/>
    <mergeCell ref="K65:N65"/>
    <mergeCell ref="M19:S19"/>
    <mergeCell ref="G40:J40"/>
    <mergeCell ref="F31:H31"/>
    <mergeCell ref="I32:M32"/>
    <mergeCell ref="O65:S65"/>
    <mergeCell ref="A46:E46"/>
    <mergeCell ref="N34:S34"/>
    <mergeCell ref="A26:E26"/>
    <mergeCell ref="A57:E57"/>
    <mergeCell ref="N27:S27"/>
    <mergeCell ref="I24:M24"/>
    <mergeCell ref="I16:L16"/>
    <mergeCell ref="I33:M33"/>
    <mergeCell ref="A64:F64"/>
    <mergeCell ref="G66:J66"/>
    <mergeCell ref="B74:R74"/>
    <mergeCell ref="I18:L18"/>
    <mergeCell ref="A52:E52"/>
    <mergeCell ref="K67:N67"/>
    <mergeCell ref="G68:J68"/>
    <mergeCell ref="M21:S21"/>
    <mergeCell ref="R18:S18"/>
    <mergeCell ref="I34:M34"/>
    <mergeCell ref="A34:E34"/>
    <mergeCell ref="K39:N39"/>
    <mergeCell ref="A49:E49"/>
    <mergeCell ref="I20:L20"/>
    <mergeCell ref="D15:S15"/>
    <mergeCell ref="K37:N37"/>
    <mergeCell ref="O39:S39"/>
    <mergeCell ref="E22:H22"/>
    <mergeCell ref="A43:S43"/>
    <mergeCell ref="A42:F42"/>
    <mergeCell ref="F27:H27"/>
    <mergeCell ref="I28:M28"/>
    <mergeCell ref="G67:J67"/>
    <mergeCell ref="D17:H17"/>
    <mergeCell ref="N24:S24"/>
    <mergeCell ref="A55:E55"/>
    <mergeCell ref="K64:N64"/>
    <mergeCell ref="B73:R73"/>
    <mergeCell ref="A80:F81"/>
    <mergeCell ref="G38:J38"/>
    <mergeCell ref="A32:E32"/>
    <mergeCell ref="N26:S26"/>
    <mergeCell ref="A15:C15"/>
    <mergeCell ref="F29:H29"/>
    <mergeCell ref="K63:N63"/>
    <mergeCell ref="K41:N41"/>
    <mergeCell ref="F25:H25"/>
    <mergeCell ref="B68:F68"/>
    <mergeCell ref="A29:E29"/>
    <mergeCell ref="N25:S25"/>
    <mergeCell ref="G80:L81"/>
    <mergeCell ref="O38:S38"/>
    <mergeCell ref="A31:E31"/>
    <mergeCell ref="A58:E58"/>
    <mergeCell ref="A16:C16"/>
    <mergeCell ref="G65:J65"/>
    <mergeCell ref="F24:H24"/>
    <mergeCell ref="J22:M22"/>
    <mergeCell ref="I17:L17"/>
    <mergeCell ref="A24:E24"/>
    <mergeCell ref="A60:E60"/>
    <mergeCell ref="F32:H32"/>
    <mergeCell ref="A18:C18"/>
    <mergeCell ref="F26:H26"/>
    <mergeCell ref="I27:M27"/>
    <mergeCell ref="F45:S61"/>
    <mergeCell ref="I19:L19"/>
    <mergeCell ref="D21:H21"/>
    <mergeCell ref="B39:F39"/>
    <mergeCell ref="N29:S29"/>
    <mergeCell ref="I25:M25"/>
    <mergeCell ref="A25:E25"/>
    <mergeCell ref="B77:R77"/>
    <mergeCell ref="D1:S12"/>
    <mergeCell ref="A22:C22"/>
    <mergeCell ref="O63:S63"/>
    <mergeCell ref="N31:S31"/>
    <mergeCell ref="A20:C20"/>
    <mergeCell ref="A63:F63"/>
    <mergeCell ref="P17:Q17"/>
    <mergeCell ref="A50:E50"/>
    <mergeCell ref="B87:F87"/>
    <mergeCell ref="D16:H16"/>
    <mergeCell ref="G39:J39"/>
    <mergeCell ref="A70:S70"/>
    <mergeCell ref="A47:E47"/>
    <mergeCell ref="B78:R78"/>
    <mergeCell ref="A13:S14"/>
    <mergeCell ref="R17:S17"/>
    <mergeCell ref="M20:S20"/>
    <mergeCell ref="F44:H44"/>
    <mergeCell ref="D18:H18"/>
    <mergeCell ref="G37:J37"/>
    <mergeCell ref="F34:H34"/>
    <mergeCell ref="B65:F65"/>
    <mergeCell ref="O64:S64"/>
    <mergeCell ref="N32:S32"/>
    <mergeCell ref="K40:N40"/>
    <mergeCell ref="I29:M29"/>
    <mergeCell ref="A36:F36"/>
    <mergeCell ref="O22:R22"/>
    <mergeCell ref="I21:L21"/>
    <mergeCell ref="A28:E28"/>
    <mergeCell ref="O67:S67"/>
    <mergeCell ref="F30:H30"/>
    <mergeCell ref="A44:E44"/>
    <mergeCell ref="I31:M31"/>
    <mergeCell ref="O37:S37"/>
    <mergeCell ref="A30:E30"/>
    <mergeCell ref="A59:E59"/>
    <mergeCell ref="D20:H20"/>
    <mergeCell ref="G64:J64"/>
    <mergeCell ref="N33:S33"/>
    <mergeCell ref="A37:F37"/>
    <mergeCell ref="A51:E51"/>
    <mergeCell ref="B66:F66"/>
    <mergeCell ref="A35:S35"/>
    <mergeCell ref="A61:E61"/>
    <mergeCell ref="A62:S62"/>
    <mergeCell ref="G41:J41"/>
    <mergeCell ref="G63:J63"/>
    <mergeCell ref="I26:M26"/>
    <mergeCell ref="B71:R71"/>
    <mergeCell ref="K66:N66"/>
    <mergeCell ref="N44:S44"/>
    <mergeCell ref="F28:H28"/>
    <mergeCell ref="B86:F86"/>
    <mergeCell ref="A54:E54"/>
    <mergeCell ref="M80:S81"/>
    <mergeCell ref="N28:S28"/>
    <mergeCell ref="A17:C17"/>
    <mergeCell ref="B67:F67"/>
    <mergeCell ref="K68:N68"/>
    <mergeCell ref="O41:S41"/>
    <mergeCell ref="A56:E56"/>
    <mergeCell ref="A27:E27"/>
    <mergeCell ref="G36:J36"/>
    <mergeCell ref="N30:S30"/>
    <mergeCell ref="A19:C19"/>
    <mergeCell ref="K36:N36"/>
    <mergeCell ref="G42:S42"/>
    <mergeCell ref="B38:F38"/>
    <mergeCell ref="A33:E33"/>
    <mergeCell ref="O40:S40"/>
    <mergeCell ref="B40:F40"/>
    <mergeCell ref="P18:Q18"/>
    <mergeCell ref="A53:E53"/>
    <mergeCell ref="I44:M44"/>
    <mergeCell ref="A1:C12"/>
    <mergeCell ref="M16:S16"/>
    <mergeCell ref="G69:S69"/>
    <mergeCell ref="O66:S66"/>
    <mergeCell ref="A69:F69"/>
    <mergeCell ref="B41:F41"/>
  </mergeCells>
  <dataValidations count="9">
    <dataValidation sqref="F79:H79" showDropDown="0" showInputMessage="1" showErrorMessage="1" allowBlank="1" type="list">
      <formula1>"MISSING, LOOSED, OK, WORN OUT, MINOR SCRATCH, MAJOR SCRATCH, NOT AVAILABLE, NOT VISSIBLE , DIRTY, CORRODED, NOT APPLICABLE, IN PLACED"</formula1>
    </dataValidation>
    <dataValidation sqref="I79:M79" showDropDown="0" showInputMessage="1" showErrorMessage="1" allowBlank="1" type="list">
      <formula1>"SAND DOWN &amp; CLEANING , CLEANING , TO REPLACE NEW, TO MACHINED, TO LAPPED, TO BUILD UP &amp; MACHINE, NOT APPLICABLE"</formula1>
    </dataValidation>
    <dataValidation sqref="N79:R79 S71:S79" showDropDown="0" showInputMessage="1" showErrorMessage="1" allowBlank="1" type="list">
      <formula1>"REUSEABLE, NO SPARE KIT - REUSEABLE, BADLY DAMAGED, NEED TO REPLACED, NO SPARE KIT"</formula1>
    </dataValidation>
    <dataValidation sqref="G42:S42 G69:S69" showDropDown="0" showInputMessage="1" showErrorMessage="1" allowBlank="1" type="list">
      <formula1>"API 2000, CLIENT REQUEEST PRESSURE, API 598"</formula1>
    </dataValidation>
    <dataValidation sqref="O63:S63" showDropDown="0" showInputMessage="1" showErrorMessage="1" allowBlank="1" type="list">
      <formula1>"WATER, NITROGEN, AIR, OTHER"</formula1>
    </dataValidation>
    <dataValidation sqref="G63:J63" showDropDown="0" showInputMessage="1" showErrorMessage="1" allowBlank="1" type="list">
      <formula1>"HYDROTEST, LEAK TEST, GRAVITY TEST, OTHER"</formula1>
    </dataValidation>
    <dataValidation sqref="D22" showDropDown="0" showInputMessage="1" showErrorMessage="1" allowBlank="0" type="list">
      <formula1>"X,0"</formula1>
    </dataValidation>
    <dataValidation sqref="I22 N22 S22" showDropDown="0" showInputMessage="1" showErrorMessage="1" allowBlank="1" type="list">
      <formula1>"X,0"</formula1>
    </dataValidation>
    <dataValidation sqref="O65:S68" showDropDown="0" showInputMessage="1" showErrorMessage="1" allowBlank="1" type="list">
      <formula1>"NO LEAK &amp; ACCEPTED, LEAKED, MINOR LEAKED &amp; ACCEPTED"</formula1>
    </dataValidation>
  </dataValidations>
  <pageMargins left="0.7" right="0.7" top="0.75" bottom="0.75" header="0.3" footer="0.3"/>
  <pageSetup orientation="portrait" paperSize="9" scale="36" fitToHeight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88"/>
  <sheetViews>
    <sheetView view="pageBreakPreview" topLeftCell="A10" zoomScale="85" zoomScaleNormal="88" zoomScaleSheetLayoutView="85" workbookViewId="0">
      <selection activeCell="I27" sqref="I27:M27"/>
    </sheetView>
  </sheetViews>
  <sheetFormatPr baseColWidth="8" defaultColWidth="11.25" defaultRowHeight="15.75"/>
  <cols>
    <col width="15" customWidth="1" min="14" max="14"/>
  </cols>
  <sheetData>
    <row r="1">
      <c r="A1" s="211" t="n"/>
      <c r="B1" s="139" t="n"/>
      <c r="C1" s="139" t="n"/>
      <c r="D1" s="599" t="inlineStr">
        <is>
          <t>PROVISION FOR MECHANICAL VALVE IN SITU PACKING
REPLACEMENT, MECHANICAL VALVE OVERHAULING, AUTOMATIC
RECIRCULATORY VALVE (ARV) SERVICING, AND MOV’S GEARBOX
SERVICING FOR PCFS TA2025</t>
        </is>
      </c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40" t="n"/>
      <c r="T1">
        <f>'Hydrotest Only'!T1</f>
        <v/>
      </c>
    </row>
    <row r="2">
      <c r="A2" s="127" t="n"/>
      <c r="D2" s="127" t="n"/>
      <c r="S2" s="141" t="n"/>
    </row>
    <row r="3">
      <c r="A3" s="127" t="n"/>
      <c r="D3" s="127" t="n"/>
      <c r="S3" s="141" t="n"/>
    </row>
    <row r="4">
      <c r="A4" s="127" t="n"/>
      <c r="D4" s="127" t="n"/>
      <c r="S4" s="141" t="n"/>
    </row>
    <row r="5">
      <c r="A5" s="127" t="n"/>
      <c r="D5" s="127" t="n"/>
      <c r="S5" s="141" t="n"/>
    </row>
    <row r="6">
      <c r="A6" s="127" t="n"/>
      <c r="D6" s="127" t="n"/>
      <c r="S6" s="141" t="n"/>
    </row>
    <row r="7">
      <c r="A7" s="127" t="n"/>
      <c r="D7" s="127" t="n"/>
      <c r="S7" s="141" t="n"/>
    </row>
    <row r="8">
      <c r="A8" s="127" t="n"/>
      <c r="D8" s="127" t="n"/>
      <c r="S8" s="141" t="n"/>
    </row>
    <row r="9">
      <c r="A9" s="127" t="n"/>
      <c r="D9" s="127" t="n"/>
      <c r="S9" s="141" t="n"/>
    </row>
    <row r="10">
      <c r="A10" s="127" t="n"/>
      <c r="D10" s="127" t="n"/>
      <c r="S10" s="141" t="n"/>
    </row>
    <row r="11">
      <c r="A11" s="127" t="n"/>
      <c r="D11" s="127" t="n"/>
      <c r="S11" s="141" t="n"/>
    </row>
    <row r="12" ht="16.5" customHeight="1" thickBot="1">
      <c r="A12" s="142" t="n"/>
      <c r="B12" s="143" t="n"/>
      <c r="C12" s="143" t="n"/>
      <c r="D12" s="142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43" t="n"/>
      <c r="R12" s="143" t="n"/>
      <c r="S12" s="144" t="n"/>
    </row>
    <row r="13" ht="15.6" customHeight="1">
      <c r="A13" s="600" t="inlineStr">
        <is>
          <t>RECEIVED REPORT</t>
        </is>
      </c>
      <c r="B13" s="601" t="n"/>
      <c r="C13" s="601" t="n"/>
      <c r="D13" s="601" t="n"/>
      <c r="E13" s="601" t="n"/>
      <c r="F13" s="601" t="n"/>
      <c r="G13" s="601" t="n"/>
      <c r="H13" s="601" t="n"/>
      <c r="I13" s="601" t="n"/>
      <c r="J13" s="601" t="n"/>
      <c r="K13" s="601" t="n"/>
      <c r="L13" s="601" t="n"/>
      <c r="M13" s="601" t="n"/>
      <c r="N13" s="601" t="n"/>
      <c r="O13" s="601" t="n"/>
      <c r="P13" s="601" t="n"/>
      <c r="Q13" s="601" t="n"/>
      <c r="R13" s="601" t="n"/>
      <c r="S13" s="602" t="n"/>
    </row>
    <row r="14" ht="16.15" customHeight="1" thickBot="1">
      <c r="A14" s="603" t="n"/>
      <c r="B14" s="604" t="n"/>
      <c r="C14" s="604" t="n"/>
      <c r="D14" s="604" t="n"/>
      <c r="E14" s="604" t="n"/>
      <c r="F14" s="604" t="n"/>
      <c r="G14" s="604" t="n"/>
      <c r="H14" s="604" t="n"/>
      <c r="I14" s="604" t="n"/>
      <c r="J14" s="604" t="n"/>
      <c r="K14" s="604" t="n"/>
      <c r="L14" s="604" t="n"/>
      <c r="M14" s="604" t="n"/>
      <c r="N14" s="604" t="n"/>
      <c r="O14" s="604" t="n"/>
      <c r="P14" s="604" t="n"/>
      <c r="Q14" s="604" t="n"/>
      <c r="R14" s="604" t="n"/>
      <c r="S14" s="605" t="n"/>
    </row>
    <row r="15" ht="24" customHeight="1" thickBot="1">
      <c r="A15" s="606" t="inlineStr">
        <is>
          <t>CLIENT</t>
        </is>
      </c>
      <c r="B15" s="607" t="n"/>
      <c r="C15" s="608" t="n"/>
      <c r="D15" s="606" t="inlineStr">
        <is>
          <t>PETRONAS CHEMICALS FERTILISER SABAH SDN BHD</t>
        </is>
      </c>
      <c r="E15" s="607" t="n"/>
      <c r="F15" s="607" t="n"/>
      <c r="G15" s="607" t="n"/>
      <c r="H15" s="607" t="n"/>
      <c r="I15" s="607" t="n"/>
      <c r="J15" s="607" t="n"/>
      <c r="K15" s="607" t="n"/>
      <c r="L15" s="607" t="n"/>
      <c r="M15" s="607" t="n"/>
      <c r="N15" s="607" t="n"/>
      <c r="O15" s="607" t="n"/>
      <c r="P15" s="607" t="n"/>
      <c r="Q15" s="607" t="n"/>
      <c r="R15" s="607" t="n"/>
      <c r="S15" s="608" t="n"/>
    </row>
    <row r="16" ht="24" customHeight="1" thickBot="1">
      <c r="A16" s="606" t="inlineStr">
        <is>
          <t>PROJECT</t>
        </is>
      </c>
      <c r="B16" s="607" t="n"/>
      <c r="C16" s="608" t="n"/>
      <c r="D16" s="606" t="inlineStr">
        <is>
          <t>VALVE MAINTENANCE/REPAIR</t>
        </is>
      </c>
      <c r="E16" s="607" t="n"/>
      <c r="F16" s="607" t="n"/>
      <c r="G16" s="607" t="n"/>
      <c r="H16" s="608" t="n"/>
      <c r="I16" s="606" t="inlineStr">
        <is>
          <t>DOC NO</t>
        </is>
      </c>
      <c r="J16" s="607" t="n"/>
      <c r="K16" s="607" t="n"/>
      <c r="L16" s="608" t="n"/>
      <c r="M16" s="655">
        <f>VLOOKUP($T1,Summary!$A$2:$AH$376,13,0)</f>
        <v/>
      </c>
      <c r="N16" s="607" t="n"/>
      <c r="O16" s="607" t="n"/>
      <c r="P16" s="607" t="n"/>
      <c r="Q16" s="607" t="n"/>
      <c r="R16" s="607" t="n"/>
      <c r="S16" s="608" t="n"/>
    </row>
    <row r="17" ht="24" customHeight="1" thickBot="1">
      <c r="A17" s="606" t="inlineStr">
        <is>
          <t>LOCATION</t>
        </is>
      </c>
      <c r="B17" s="607" t="n"/>
      <c r="C17" s="608" t="n"/>
      <c r="D17" s="606" t="inlineStr">
        <is>
          <t>SIPITANG SABAH</t>
        </is>
      </c>
      <c r="E17" s="607" t="n"/>
      <c r="F17" s="607" t="n"/>
      <c r="G17" s="607" t="n"/>
      <c r="H17" s="608" t="n"/>
      <c r="I17" s="606" t="inlineStr">
        <is>
          <t>SIZE INLET</t>
        </is>
      </c>
      <c r="J17" s="607" t="n"/>
      <c r="K17" s="607" t="n"/>
      <c r="L17" s="608" t="n"/>
      <c r="M17" s="137">
        <f>VLOOKUP($T$1,Summary!$A$2:$AH$376,22,0)</f>
        <v/>
      </c>
      <c r="N17" s="125" t="inlineStr">
        <is>
          <t>RATING</t>
        </is>
      </c>
      <c r="O17" s="136">
        <f>VLOOKUP($T$1,Summary!$A$2:$AH$376,26,0)</f>
        <v/>
      </c>
      <c r="P17" s="656" t="inlineStr">
        <is>
          <t>INLET TYPE</t>
        </is>
      </c>
      <c r="Q17" s="613" t="n"/>
      <c r="R17" s="657">
        <f>VLOOKUP($T$1,Summary!$A$2:$AH$376,24,0)</f>
        <v/>
      </c>
      <c r="S17" s="613" t="n"/>
    </row>
    <row r="18" ht="24" customHeight="1" thickBot="1">
      <c r="A18" s="606" t="inlineStr">
        <is>
          <t>DATE IN</t>
        </is>
      </c>
      <c r="B18" s="607" t="n"/>
      <c r="C18" s="608" t="n"/>
      <c r="D18" s="658">
        <f>VLOOKUP($T$1,Summary!$A$2:$AH$376,11,0)</f>
        <v/>
      </c>
      <c r="E18" s="607" t="n"/>
      <c r="F18" s="607" t="n"/>
      <c r="G18" s="607" t="n"/>
      <c r="H18" s="608" t="n"/>
      <c r="I18" s="606" t="inlineStr">
        <is>
          <t>SIZE OUTLET</t>
        </is>
      </c>
      <c r="J18" s="607" t="n"/>
      <c r="K18" s="607" t="n"/>
      <c r="L18" s="608" t="n"/>
      <c r="M18" s="137">
        <f>VLOOKUP($T$1,Summary!$A$2:$AH$376,23,0)</f>
        <v/>
      </c>
      <c r="N18" s="125" t="inlineStr">
        <is>
          <t>RATING</t>
        </is>
      </c>
      <c r="O18" s="136">
        <f>VLOOKUP($T$1,Summary!$A$2:$AH$376,27,0)</f>
        <v/>
      </c>
      <c r="P18" s="656" t="inlineStr">
        <is>
          <t>OUTLET TYPE</t>
        </is>
      </c>
      <c r="Q18" s="613" t="n"/>
      <c r="R18" s="657">
        <f>VLOOKUP($T$1,Summary!$A$2:$AH$376,25,0)</f>
        <v/>
      </c>
      <c r="S18" s="613" t="n"/>
    </row>
    <row r="19" ht="24" customHeight="1" thickBot="1">
      <c r="A19" s="606" t="inlineStr">
        <is>
          <t>WO</t>
        </is>
      </c>
      <c r="B19" s="607" t="n"/>
      <c r="C19" s="608" t="n"/>
      <c r="D19" s="659">
        <f>VLOOKUP($T$1,Summary!$A$2:$AH$376,2,0)</f>
        <v/>
      </c>
      <c r="E19" s="607" t="n"/>
      <c r="F19" s="607" t="n"/>
      <c r="G19" s="607" t="n"/>
      <c r="H19" s="608" t="n"/>
      <c r="I19" s="606" t="inlineStr">
        <is>
          <t>MANUFACTURER</t>
        </is>
      </c>
      <c r="J19" s="607" t="n"/>
      <c r="K19" s="607" t="n"/>
      <c r="L19" s="608" t="n"/>
      <c r="M19" s="655">
        <f>VLOOKUP($T$1,Summary!$A$2:$AH$376,6,0)</f>
        <v/>
      </c>
      <c r="N19" s="607" t="n"/>
      <c r="O19" s="607" t="n"/>
      <c r="P19" s="607" t="n"/>
      <c r="Q19" s="607" t="n"/>
      <c r="R19" s="607" t="n"/>
      <c r="S19" s="608" t="n"/>
    </row>
    <row r="20" ht="24" customHeight="1" thickBot="1">
      <c r="A20" s="606" t="inlineStr">
        <is>
          <t>TAG NO</t>
        </is>
      </c>
      <c r="B20" s="607" t="n"/>
      <c r="C20" s="608" t="n"/>
      <c r="D20" s="658">
        <f>VLOOKUP($T$1,Summary!$A$2:$AH$376,9,0)</f>
        <v/>
      </c>
      <c r="E20" s="607" t="n"/>
      <c r="F20" s="607" t="n"/>
      <c r="G20" s="607" t="n"/>
      <c r="H20" s="608" t="n"/>
      <c r="I20" s="606" t="inlineStr">
        <is>
          <t>TYPE OF VALVE</t>
        </is>
      </c>
      <c r="J20" s="607" t="n"/>
      <c r="K20" s="607" t="n"/>
      <c r="L20" s="608" t="n"/>
      <c r="M20" s="655">
        <f>VLOOKUP($T$1,Summary!$A$2:$AH$376,5,0)</f>
        <v/>
      </c>
      <c r="N20" s="607" t="n"/>
      <c r="O20" s="607" t="n"/>
      <c r="P20" s="607" t="n"/>
      <c r="Q20" s="607" t="n"/>
      <c r="R20" s="607" t="n"/>
      <c r="S20" s="608" t="n"/>
      <c r="V20" t="inlineStr">
        <is>
          <t>SER</t>
        </is>
      </c>
    </row>
    <row r="21" ht="24" customHeight="1" thickBot="1">
      <c r="A21" s="606" t="n"/>
      <c r="B21" s="607" t="n"/>
      <c r="C21" s="608" t="n"/>
      <c r="D21" s="617" t="n"/>
      <c r="E21" s="607" t="n"/>
      <c r="F21" s="607" t="n"/>
      <c r="G21" s="607" t="n"/>
      <c r="H21" s="608" t="n"/>
      <c r="I21" s="660" t="inlineStr">
        <is>
          <t>VALVE OPERATED TYPE</t>
        </is>
      </c>
      <c r="J21" s="619" t="n"/>
      <c r="K21" s="619" t="n"/>
      <c r="L21" s="620" t="n"/>
      <c r="M21" s="655">
        <f>VLOOKUP($T$1,Summary!$A$2:$AH$376,7,0)</f>
        <v/>
      </c>
      <c r="N21" s="607" t="n"/>
      <c r="O21" s="607" t="n"/>
      <c r="P21" s="607" t="n"/>
      <c r="Q21" s="607" t="n"/>
      <c r="R21" s="607" t="n"/>
      <c r="S21" s="608" t="n"/>
    </row>
    <row r="22" ht="24" customHeight="1" thickBot="1">
      <c r="A22" s="222" t="inlineStr">
        <is>
          <t>INSITU TESTING</t>
        </is>
      </c>
      <c r="B22" s="621" t="n"/>
      <c r="C22" s="621" t="n"/>
      <c r="D22" s="15" t="n">
        <v>0</v>
      </c>
      <c r="E22" s="622" t="inlineStr">
        <is>
          <t>SERVICE &amp; REPAIR</t>
        </is>
      </c>
      <c r="F22" s="621" t="n"/>
      <c r="G22" s="621" t="n"/>
      <c r="H22" s="613" t="n"/>
      <c r="I22" s="15" t="n">
        <v>0</v>
      </c>
      <c r="J22" s="216" t="inlineStr">
        <is>
          <t>OVERHAUL</t>
        </is>
      </c>
      <c r="K22" s="621" t="n"/>
      <c r="L22" s="621" t="n"/>
      <c r="M22" s="621" t="n"/>
      <c r="N22" s="15" t="n"/>
      <c r="O22" s="622" t="inlineStr">
        <is>
          <t xml:space="preserve">   REPLACE NEW VALVE</t>
        </is>
      </c>
      <c r="P22" s="621" t="n"/>
      <c r="Q22" s="621" t="n"/>
      <c r="R22" s="613" t="n"/>
      <c r="S22" s="16" t="n">
        <v>0</v>
      </c>
    </row>
    <row r="23" ht="24" customHeight="1" thickBot="1">
      <c r="A23" s="707" t="inlineStr">
        <is>
          <t>AS RECEIVED VISUAL INSPECTION &amp; SERVICES</t>
        </is>
      </c>
      <c r="B23" s="678" t="n"/>
      <c r="C23" s="678" t="n"/>
      <c r="D23" s="678" t="n"/>
      <c r="E23" s="678" t="n"/>
      <c r="F23" s="678" t="n"/>
      <c r="G23" s="678" t="n"/>
      <c r="H23" s="678" t="n"/>
      <c r="I23" s="678" t="n"/>
      <c r="J23" s="678" t="n"/>
      <c r="K23" s="678" t="n"/>
      <c r="L23" s="678" t="n"/>
      <c r="M23" s="678" t="n"/>
      <c r="N23" s="678" t="n"/>
      <c r="O23" s="678" t="n"/>
      <c r="P23" s="678" t="n"/>
      <c r="Q23" s="678" t="n"/>
      <c r="R23" s="678" t="n"/>
      <c r="S23" s="679" t="n"/>
    </row>
    <row r="24" ht="24" customHeight="1" thickBot="1">
      <c r="A24" s="661" t="inlineStr">
        <is>
          <t>DESCRIPTION</t>
        </is>
      </c>
      <c r="B24" s="604" t="n"/>
      <c r="C24" s="604" t="n"/>
      <c r="D24" s="604" t="n"/>
      <c r="E24" s="605" t="n"/>
      <c r="F24" s="662" t="inlineStr">
        <is>
          <t>CONDITION</t>
        </is>
      </c>
      <c r="G24" s="604" t="n"/>
      <c r="H24" s="605" t="n"/>
      <c r="I24" s="662" t="inlineStr">
        <is>
          <t xml:space="preserve">            ACTION</t>
        </is>
      </c>
      <c r="J24" s="604" t="n"/>
      <c r="K24" s="604" t="n"/>
      <c r="L24" s="604" t="n"/>
      <c r="M24" s="605" t="n"/>
      <c r="N24" s="717" t="inlineStr">
        <is>
          <t>REMARK</t>
        </is>
      </c>
      <c r="O24" s="718" t="n"/>
      <c r="P24" s="718" t="n"/>
      <c r="Q24" s="718" t="n"/>
      <c r="R24" s="718" t="n"/>
      <c r="S24" s="719" t="n"/>
    </row>
    <row r="25" ht="46.9" customHeight="1" thickBot="1">
      <c r="A25" s="606">
        <f>'Finding Report'!A25</f>
        <v/>
      </c>
      <c r="B25" s="607" t="n"/>
      <c r="C25" s="607" t="n"/>
      <c r="D25" s="607" t="n"/>
      <c r="E25" s="608" t="n"/>
      <c r="F25" s="734">
        <f>'Received Report'!F47</f>
        <v/>
      </c>
      <c r="G25" s="607" t="n"/>
      <c r="H25" s="608" t="n"/>
      <c r="I25" s="740">
        <f>'Finding Report'!I25</f>
        <v/>
      </c>
      <c r="J25" s="607" t="n"/>
      <c r="K25" s="607" t="n"/>
      <c r="L25" s="607" t="n"/>
      <c r="M25" s="608" t="n"/>
      <c r="N25" s="669">
        <f>'Serviced Report'!N25</f>
        <v/>
      </c>
      <c r="O25" s="664" t="n"/>
      <c r="P25" s="664" t="n"/>
      <c r="Q25" s="664" t="n"/>
      <c r="R25" s="664" t="n"/>
      <c r="S25" s="665" t="n"/>
    </row>
    <row r="26" ht="25.15" customHeight="1" thickBot="1">
      <c r="A26" s="606">
        <f>'Finding Report'!A26</f>
        <v/>
      </c>
      <c r="B26" s="607" t="n"/>
      <c r="C26" s="607" t="n"/>
      <c r="D26" s="607" t="n"/>
      <c r="E26" s="608" t="n"/>
      <c r="F26" s="734">
        <f>'Received Report'!F44</f>
        <v/>
      </c>
      <c r="G26" s="607" t="n"/>
      <c r="H26" s="608" t="n"/>
      <c r="I26" s="740">
        <f>'Finding Report'!I26</f>
        <v/>
      </c>
      <c r="J26" s="607" t="n"/>
      <c r="K26" s="607" t="n"/>
      <c r="L26" s="607" t="n"/>
      <c r="M26" s="608" t="n"/>
      <c r="N26" s="669">
        <f>'Serviced Report'!N26</f>
        <v/>
      </c>
      <c r="O26" s="664" t="n"/>
      <c r="P26" s="664" t="n"/>
      <c r="Q26" s="664" t="n"/>
      <c r="R26" s="664" t="n"/>
      <c r="S26" s="665" t="n"/>
    </row>
    <row r="27" ht="49.15" customHeight="1" thickBot="1">
      <c r="A27" s="606">
        <f>'Finding Report'!A27</f>
        <v/>
      </c>
      <c r="B27" s="607" t="n"/>
      <c r="C27" s="607" t="n"/>
      <c r="D27" s="607" t="n"/>
      <c r="E27" s="608" t="n"/>
      <c r="F27" s="734">
        <f>'Received Report'!F45</f>
        <v/>
      </c>
      <c r="G27" s="607" t="n"/>
      <c r="H27" s="608" t="n"/>
      <c r="I27" s="740">
        <f>'Finding Report'!I27</f>
        <v/>
      </c>
      <c r="J27" s="607" t="n"/>
      <c r="K27" s="607" t="n"/>
      <c r="L27" s="607" t="n"/>
      <c r="M27" s="608" t="n"/>
      <c r="N27" s="669">
        <f>'Serviced Report'!N27</f>
        <v/>
      </c>
      <c r="O27" s="664" t="n"/>
      <c r="P27" s="664" t="n"/>
      <c r="Q27" s="664" t="n"/>
      <c r="R27" s="664" t="n"/>
      <c r="S27" s="665" t="n"/>
    </row>
    <row r="28" ht="25.15" customHeight="1" thickBot="1">
      <c r="A28" s="606">
        <f>'Finding Report'!A28</f>
        <v/>
      </c>
      <c r="B28" s="607" t="n"/>
      <c r="C28" s="607" t="n"/>
      <c r="D28" s="607" t="n"/>
      <c r="E28" s="608" t="n"/>
      <c r="F28" s="734">
        <f>'Finding Report'!F28</f>
        <v/>
      </c>
      <c r="G28" s="607" t="n"/>
      <c r="H28" s="608" t="n"/>
      <c r="I28" s="740">
        <f>'Finding Report'!I28</f>
        <v/>
      </c>
      <c r="J28" s="607" t="n"/>
      <c r="K28" s="607" t="n"/>
      <c r="L28" s="607" t="n"/>
      <c r="M28" s="608" t="n"/>
      <c r="N28" s="669">
        <f>'Serviced Report'!N28</f>
        <v/>
      </c>
      <c r="O28" s="664" t="n"/>
      <c r="P28" s="664" t="n"/>
      <c r="Q28" s="664" t="n"/>
      <c r="R28" s="664" t="n"/>
      <c r="S28" s="665" t="n"/>
    </row>
    <row r="29" ht="25.15" customHeight="1" thickBot="1">
      <c r="A29" s="606">
        <f>'Finding Report'!A29</f>
        <v/>
      </c>
      <c r="B29" s="607" t="n"/>
      <c r="C29" s="607" t="n"/>
      <c r="D29" s="607" t="n"/>
      <c r="E29" s="608" t="n"/>
      <c r="F29" s="734">
        <f>'Finding Report'!F29</f>
        <v/>
      </c>
      <c r="G29" s="607" t="n"/>
      <c r="H29" s="608" t="n"/>
      <c r="I29" s="740">
        <f>'Finding Report'!I29</f>
        <v/>
      </c>
      <c r="J29" s="607" t="n"/>
      <c r="K29" s="607" t="n"/>
      <c r="L29" s="607" t="n"/>
      <c r="M29" s="608" t="n"/>
      <c r="N29" s="669">
        <f>'Serviced Report'!N29</f>
        <v/>
      </c>
      <c r="O29" s="664" t="n"/>
      <c r="P29" s="664" t="n"/>
      <c r="Q29" s="664" t="n"/>
      <c r="R29" s="664" t="n"/>
      <c r="S29" s="665" t="n"/>
    </row>
    <row r="30" ht="25.15" customHeight="1" thickBot="1">
      <c r="A30" s="606">
        <f>'Finding Report'!A30</f>
        <v/>
      </c>
      <c r="B30" s="607" t="n"/>
      <c r="C30" s="607" t="n"/>
      <c r="D30" s="607" t="n"/>
      <c r="E30" s="608" t="n"/>
      <c r="F30" s="734">
        <f>'Finding Report'!F30</f>
        <v/>
      </c>
      <c r="G30" s="607" t="n"/>
      <c r="H30" s="608" t="n"/>
      <c r="I30" s="740">
        <f>'Finding Report'!I30</f>
        <v/>
      </c>
      <c r="J30" s="607" t="n"/>
      <c r="K30" s="607" t="n"/>
      <c r="L30" s="607" t="n"/>
      <c r="M30" s="608" t="n"/>
      <c r="N30" s="669">
        <f>'Serviced Report'!N30</f>
        <v/>
      </c>
      <c r="O30" s="664" t="n"/>
      <c r="P30" s="664" t="n"/>
      <c r="Q30" s="664" t="n"/>
      <c r="R30" s="664" t="n"/>
      <c r="S30" s="665" t="n"/>
    </row>
    <row r="31" ht="25.15" customHeight="1" thickBot="1">
      <c r="A31" s="606">
        <f>'Finding Report'!A31</f>
        <v/>
      </c>
      <c r="B31" s="607" t="n"/>
      <c r="C31" s="607" t="n"/>
      <c r="D31" s="607" t="n"/>
      <c r="E31" s="608" t="n"/>
      <c r="F31" s="734">
        <f>'Finding Report'!F31</f>
        <v/>
      </c>
      <c r="G31" s="607" t="n"/>
      <c r="H31" s="608" t="n"/>
      <c r="I31" s="740">
        <f>'Finding Report'!I31</f>
        <v/>
      </c>
      <c r="J31" s="607" t="n"/>
      <c r="K31" s="607" t="n"/>
      <c r="L31" s="607" t="n"/>
      <c r="M31" s="608" t="n"/>
      <c r="N31" s="669">
        <f>'Serviced Report'!N31</f>
        <v/>
      </c>
      <c r="O31" s="664" t="n"/>
      <c r="P31" s="664" t="n"/>
      <c r="Q31" s="664" t="n"/>
      <c r="R31" s="664" t="n"/>
      <c r="S31" s="665" t="n"/>
    </row>
    <row r="32" ht="25.15" customHeight="1" thickBot="1">
      <c r="A32" s="606">
        <f>'Finding Report'!A32</f>
        <v/>
      </c>
      <c r="B32" s="607" t="n"/>
      <c r="C32" s="607" t="n"/>
      <c r="D32" s="607" t="n"/>
      <c r="E32" s="608" t="n"/>
      <c r="F32" s="734">
        <f>'Finding Report'!F32</f>
        <v/>
      </c>
      <c r="G32" s="607" t="n"/>
      <c r="H32" s="608" t="n"/>
      <c r="I32" s="740">
        <f>'Finding Report'!I32</f>
        <v/>
      </c>
      <c r="J32" s="607" t="n"/>
      <c r="K32" s="607" t="n"/>
      <c r="L32" s="607" t="n"/>
      <c r="M32" s="608" t="n"/>
      <c r="N32" s="669">
        <f>'Serviced Report'!N32</f>
        <v/>
      </c>
      <c r="O32" s="664" t="n"/>
      <c r="P32" s="664" t="n"/>
      <c r="Q32" s="664" t="n"/>
      <c r="R32" s="664" t="n"/>
      <c r="S32" s="665" t="n"/>
    </row>
    <row r="33" ht="25.15" customHeight="1" thickBot="1">
      <c r="A33" s="606">
        <f>'Finding Report'!A33</f>
        <v/>
      </c>
      <c r="B33" s="607" t="n"/>
      <c r="C33" s="607" t="n"/>
      <c r="D33" s="607" t="n"/>
      <c r="E33" s="608" t="n"/>
      <c r="F33" s="734">
        <f>'Finding Report'!F33</f>
        <v/>
      </c>
      <c r="G33" s="607" t="n"/>
      <c r="H33" s="608" t="n"/>
      <c r="I33" s="740">
        <f>'Finding Report'!I33</f>
        <v/>
      </c>
      <c r="J33" s="607" t="n"/>
      <c r="K33" s="607" t="n"/>
      <c r="L33" s="607" t="n"/>
      <c r="M33" s="608" t="n"/>
      <c r="N33" s="669">
        <f>'Serviced Report'!N33</f>
        <v/>
      </c>
      <c r="O33" s="664" t="n"/>
      <c r="P33" s="664" t="n"/>
      <c r="Q33" s="664" t="n"/>
      <c r="R33" s="664" t="n"/>
      <c r="S33" s="665" t="n"/>
    </row>
    <row r="34" ht="25.15" customHeight="1" thickBot="1">
      <c r="A34" s="606">
        <f>'Finding Report'!A35</f>
        <v/>
      </c>
      <c r="B34" s="607" t="n"/>
      <c r="C34" s="607" t="n"/>
      <c r="D34" s="607" t="n"/>
      <c r="E34" s="608" t="n"/>
      <c r="F34" s="734">
        <f>'Finding Report'!F35</f>
        <v/>
      </c>
      <c r="G34" s="607" t="n"/>
      <c r="H34" s="608" t="n"/>
      <c r="I34" s="740">
        <f>'Finding Report'!I35</f>
        <v/>
      </c>
      <c r="J34" s="607" t="n"/>
      <c r="K34" s="607" t="n"/>
      <c r="L34" s="607" t="n"/>
      <c r="M34" s="608" t="n"/>
      <c r="N34" s="669">
        <f>'Serviced Report'!N34</f>
        <v/>
      </c>
      <c r="O34" s="664" t="n"/>
      <c r="P34" s="664" t="n"/>
      <c r="Q34" s="664" t="n"/>
      <c r="R34" s="664" t="n"/>
      <c r="S34" s="665" t="n"/>
    </row>
    <row r="35" ht="24" customHeight="1" thickBot="1">
      <c r="A35" s="623" t="inlineStr">
        <is>
          <t>PRE-TEST (HYDROTEST/LEAKED TEST) - AS RECEIVED</t>
        </is>
      </c>
      <c r="B35" s="621" t="n"/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  <c r="N35" s="621" t="n"/>
      <c r="O35" s="621" t="n"/>
      <c r="P35" s="621" t="n"/>
      <c r="Q35" s="621" t="n"/>
      <c r="R35" s="621" t="n"/>
      <c r="S35" s="613" t="n"/>
    </row>
    <row r="36" ht="24" customHeight="1" thickBot="1">
      <c r="A36" s="677" t="inlineStr">
        <is>
          <t>TYPE OF TEST</t>
        </is>
      </c>
      <c r="B36" s="678" t="n"/>
      <c r="C36" s="678" t="n"/>
      <c r="D36" s="678" t="n"/>
      <c r="E36" s="678" t="n"/>
      <c r="F36" s="679" t="n"/>
      <c r="G36" s="332">
        <f>'Finding Report'!G37</f>
        <v/>
      </c>
      <c r="H36" s="678" t="n"/>
      <c r="I36" s="678" t="n"/>
      <c r="J36" s="678" t="n"/>
      <c r="K36" s="677" t="inlineStr">
        <is>
          <t>TEST MEDIUM</t>
        </is>
      </c>
      <c r="L36" s="678" t="n"/>
      <c r="M36" s="678" t="n"/>
      <c r="N36" s="679" t="n"/>
      <c r="O36" s="333">
        <f>'Finding Report'!O37</f>
        <v/>
      </c>
      <c r="P36" s="678" t="n"/>
      <c r="Q36" s="678" t="n"/>
      <c r="R36" s="678" t="n"/>
      <c r="S36" s="679" t="n"/>
    </row>
    <row r="37" ht="24" customHeight="1" thickBot="1">
      <c r="A37" s="334" t="inlineStr">
        <is>
          <t>DESCRIPTION</t>
        </is>
      </c>
      <c r="B37" s="678" t="n"/>
      <c r="C37" s="678" t="n"/>
      <c r="D37" s="678" t="n"/>
      <c r="E37" s="678" t="n"/>
      <c r="F37" s="681" t="n"/>
      <c r="G37" s="337" t="inlineStr">
        <is>
          <t>PRESSURE</t>
        </is>
      </c>
      <c r="H37" s="678" t="n"/>
      <c r="I37" s="678" t="n"/>
      <c r="J37" s="681" t="n"/>
      <c r="K37" s="313" t="inlineStr">
        <is>
          <t>DURATION</t>
        </is>
      </c>
      <c r="L37" s="678" t="n"/>
      <c r="M37" s="678" t="n"/>
      <c r="N37" s="681" t="n"/>
      <c r="O37" s="337" t="inlineStr">
        <is>
          <t>RESULT &amp; REMARKS</t>
        </is>
      </c>
      <c r="P37" s="678" t="n"/>
      <c r="Q37" s="678" t="n"/>
      <c r="R37" s="678" t="n"/>
      <c r="S37" s="681" t="n"/>
    </row>
    <row r="38" ht="24" customHeight="1">
      <c r="A38" s="58" t="inlineStr">
        <is>
          <t>A</t>
        </is>
      </c>
      <c r="B38" s="339" t="inlineStr">
        <is>
          <t>SHELL</t>
        </is>
      </c>
      <c r="C38" s="682" t="n"/>
      <c r="D38" s="682" t="n"/>
      <c r="E38" s="682" t="n"/>
      <c r="F38" s="683" t="n"/>
      <c r="G38" s="414">
        <f>'Finding Report'!G39</f>
        <v/>
      </c>
      <c r="H38" s="682" t="n"/>
      <c r="I38" s="682" t="n"/>
      <c r="J38" s="683" t="n"/>
      <c r="K38" s="436">
        <f>'Finding Report'!K39</f>
        <v/>
      </c>
      <c r="L38" s="682" t="n"/>
      <c r="M38" s="682" t="n"/>
      <c r="N38" s="683" t="n"/>
      <c r="O38" s="414">
        <f>'Finding Report'!O39</f>
        <v/>
      </c>
      <c r="P38" s="682" t="n"/>
      <c r="Q38" s="682" t="n"/>
      <c r="R38" s="682" t="n"/>
      <c r="S38" s="683" t="n"/>
    </row>
    <row r="39" ht="24" customHeight="1">
      <c r="A39" s="56" t="inlineStr">
        <is>
          <t>B</t>
        </is>
      </c>
      <c r="B39" s="342" t="inlineStr">
        <is>
          <t>BACKSEAT</t>
        </is>
      </c>
      <c r="C39" s="687" t="n"/>
      <c r="D39" s="687" t="n"/>
      <c r="E39" s="687" t="n"/>
      <c r="F39" s="688" t="n"/>
      <c r="G39" s="414">
        <f>'Finding Report'!G40</f>
        <v/>
      </c>
      <c r="H39" s="682" t="n"/>
      <c r="I39" s="682" t="n"/>
      <c r="J39" s="683" t="n"/>
      <c r="K39" s="436">
        <f>'Finding Report'!K40</f>
        <v/>
      </c>
      <c r="L39" s="682" t="n"/>
      <c r="M39" s="682" t="n"/>
      <c r="N39" s="683" t="n"/>
      <c r="O39" s="417">
        <f>'Finding Report'!O40</f>
        <v/>
      </c>
      <c r="P39" s="687" t="n"/>
      <c r="Q39" s="687" t="n"/>
      <c r="R39" s="687" t="n"/>
      <c r="S39" s="688" t="n"/>
    </row>
    <row r="40" ht="24" customHeight="1" thickBot="1">
      <c r="A40" s="57" t="inlineStr">
        <is>
          <t>C</t>
        </is>
      </c>
      <c r="B40" s="345" t="inlineStr">
        <is>
          <t>SEAT</t>
        </is>
      </c>
      <c r="C40" s="691" t="n"/>
      <c r="D40" s="691" t="n"/>
      <c r="E40" s="691" t="n"/>
      <c r="F40" s="692" t="n"/>
      <c r="G40" s="414">
        <f>'Finding Report'!G41</f>
        <v/>
      </c>
      <c r="H40" s="682" t="n"/>
      <c r="I40" s="682" t="n"/>
      <c r="J40" s="683" t="n"/>
      <c r="K40" s="436">
        <f>'Finding Report'!K41</f>
        <v/>
      </c>
      <c r="L40" s="682" t="n"/>
      <c r="M40" s="682" t="n"/>
      <c r="N40" s="683" t="n"/>
      <c r="O40" s="420">
        <f>'Finding Report'!O41</f>
        <v/>
      </c>
      <c r="P40" s="691" t="n"/>
      <c r="Q40" s="691" t="n"/>
      <c r="R40" s="691" t="n"/>
      <c r="S40" s="692" t="n"/>
    </row>
    <row r="41" ht="24" customHeight="1" thickBot="1">
      <c r="A41" s="273" t="inlineStr">
        <is>
          <t>TEST ACCORDANCE TO</t>
        </is>
      </c>
      <c r="B41" s="678" t="n"/>
      <c r="C41" s="678" t="n"/>
      <c r="D41" s="678" t="n"/>
      <c r="E41" s="678" t="n"/>
      <c r="F41" s="681" t="n"/>
      <c r="G41" s="377" t="inlineStr">
        <is>
          <t>API 2000</t>
        </is>
      </c>
      <c r="H41" s="678" t="n"/>
      <c r="I41" s="678" t="n"/>
      <c r="J41" s="678" t="n"/>
      <c r="K41" s="678" t="n"/>
      <c r="L41" s="678" t="n"/>
      <c r="M41" s="678" t="n"/>
      <c r="N41" s="678" t="n"/>
      <c r="O41" s="678" t="n"/>
      <c r="P41" s="678" t="n"/>
      <c r="Q41" s="678" t="n"/>
      <c r="R41" s="678" t="n"/>
      <c r="S41" s="681" t="n"/>
    </row>
    <row r="42" ht="24" customHeight="1" thickBot="1">
      <c r="A42" s="741" t="inlineStr">
        <is>
          <t>INTERNAL PARTS INSPECTION &amp; SERVICES</t>
        </is>
      </c>
      <c r="B42" s="678" t="n"/>
      <c r="C42" s="678" t="n"/>
      <c r="D42" s="678" t="n"/>
      <c r="E42" s="678" t="n"/>
      <c r="F42" s="678" t="n"/>
      <c r="G42" s="678" t="n"/>
      <c r="H42" s="678" t="n"/>
      <c r="I42" s="678" t="n"/>
      <c r="J42" s="678" t="n"/>
      <c r="K42" s="678" t="n"/>
      <c r="L42" s="678" t="n"/>
      <c r="M42" s="678" t="n"/>
      <c r="N42" s="678" t="n"/>
      <c r="O42" s="678" t="n"/>
      <c r="P42" s="678" t="n"/>
      <c r="Q42" s="678" t="n"/>
      <c r="R42" s="678" t="n"/>
      <c r="S42" s="679" t="n"/>
    </row>
    <row r="43" ht="24" customHeight="1" thickBot="1">
      <c r="A43" s="723" t="inlineStr">
        <is>
          <t>DESCRIPTION</t>
        </is>
      </c>
      <c r="B43" s="724" t="n"/>
      <c r="C43" s="724" t="n"/>
      <c r="D43" s="724" t="n"/>
      <c r="E43" s="725" t="n"/>
      <c r="F43" s="726" t="inlineStr">
        <is>
          <t>CONDITION</t>
        </is>
      </c>
      <c r="G43" s="724" t="n"/>
      <c r="H43" s="725" t="n"/>
      <c r="I43" s="726" t="inlineStr">
        <is>
          <t>ACTION</t>
        </is>
      </c>
      <c r="J43" s="724" t="n"/>
      <c r="K43" s="724" t="n"/>
      <c r="L43" s="724" t="n"/>
      <c r="M43" s="725" t="n"/>
      <c r="N43" s="726" t="inlineStr">
        <is>
          <t>REMARK</t>
        </is>
      </c>
      <c r="O43" s="724" t="n"/>
      <c r="P43" s="724" t="n"/>
      <c r="Q43" s="724" t="n"/>
      <c r="R43" s="724" t="n"/>
      <c r="S43" s="725" t="n"/>
    </row>
    <row r="44" ht="24" customHeight="1" thickBot="1">
      <c r="A44" s="606">
        <f>'Finding Report'!A45</f>
        <v/>
      </c>
      <c r="B44" s="607" t="n"/>
      <c r="C44" s="607" t="n"/>
      <c r="D44" s="607" t="n"/>
      <c r="E44" s="608" t="n"/>
      <c r="F44" s="720">
        <f>'Finding Report'!F45</f>
        <v/>
      </c>
      <c r="G44" s="607" t="n"/>
      <c r="H44" s="608" t="n"/>
      <c r="I44" s="720">
        <f>'Finding Report'!I45</f>
        <v/>
      </c>
      <c r="J44" s="607" t="n"/>
      <c r="K44" s="607" t="n"/>
      <c r="L44" s="607" t="n"/>
      <c r="M44" s="608" t="n"/>
      <c r="N44" s="668">
        <f>'Serviced Report'!N37</f>
        <v/>
      </c>
      <c r="O44" s="664" t="n"/>
      <c r="P44" s="664" t="n"/>
      <c r="Q44" s="664" t="n"/>
      <c r="R44" s="664" t="n"/>
      <c r="S44" s="665" t="n"/>
    </row>
    <row r="45" ht="24" customHeight="1" thickBot="1">
      <c r="A45" s="606">
        <f>'Finding Report'!A46</f>
        <v/>
      </c>
      <c r="B45" s="607" t="n"/>
      <c r="C45" s="607" t="n"/>
      <c r="D45" s="607" t="n"/>
      <c r="E45" s="608" t="n"/>
      <c r="F45" s="720">
        <f>'Finding Report'!F46</f>
        <v/>
      </c>
      <c r="G45" s="607" t="n"/>
      <c r="H45" s="608" t="n"/>
      <c r="I45" s="720">
        <f>'Finding Report'!I46</f>
        <v/>
      </c>
      <c r="J45" s="607" t="n"/>
      <c r="K45" s="607" t="n"/>
      <c r="L45" s="607" t="n"/>
      <c r="M45" s="608" t="n"/>
      <c r="N45" s="668">
        <f>'Serviced Report'!N38</f>
        <v/>
      </c>
      <c r="O45" s="664" t="n"/>
      <c r="P45" s="664" t="n"/>
      <c r="Q45" s="664" t="n"/>
      <c r="R45" s="664" t="n"/>
      <c r="S45" s="665" t="n"/>
    </row>
    <row r="46" ht="24" customHeight="1" thickBot="1">
      <c r="A46" s="606">
        <f>'Finding Report'!A47</f>
        <v/>
      </c>
      <c r="B46" s="607" t="n"/>
      <c r="C46" s="607" t="n"/>
      <c r="D46" s="607" t="n"/>
      <c r="E46" s="608" t="n"/>
      <c r="F46" s="720">
        <f>'Finding Report'!F47</f>
        <v/>
      </c>
      <c r="G46" s="607" t="n"/>
      <c r="H46" s="608" t="n"/>
      <c r="I46" s="720">
        <f>'Finding Report'!I47</f>
        <v/>
      </c>
      <c r="J46" s="607" t="n"/>
      <c r="K46" s="607" t="n"/>
      <c r="L46" s="607" t="n"/>
      <c r="M46" s="608" t="n"/>
      <c r="N46" s="668">
        <f>'Serviced Report'!N39</f>
        <v/>
      </c>
      <c r="O46" s="664" t="n"/>
      <c r="P46" s="664" t="n"/>
      <c r="Q46" s="664" t="n"/>
      <c r="R46" s="664" t="n"/>
      <c r="S46" s="665" t="n"/>
    </row>
    <row r="47" ht="24" customHeight="1" thickBot="1">
      <c r="A47" s="606">
        <f>'Finding Report'!A48</f>
        <v/>
      </c>
      <c r="B47" s="607" t="n"/>
      <c r="C47" s="607" t="n"/>
      <c r="D47" s="607" t="n"/>
      <c r="E47" s="608" t="n"/>
      <c r="F47" s="720">
        <f>'Finding Report'!F48</f>
        <v/>
      </c>
      <c r="G47" s="607" t="n"/>
      <c r="H47" s="608" t="n"/>
      <c r="I47" s="720">
        <f>'Finding Report'!I48</f>
        <v/>
      </c>
      <c r="J47" s="607" t="n"/>
      <c r="K47" s="607" t="n"/>
      <c r="L47" s="607" t="n"/>
      <c r="M47" s="608" t="n"/>
      <c r="N47" s="668">
        <f>'Serviced Report'!N40</f>
        <v/>
      </c>
      <c r="O47" s="664" t="n"/>
      <c r="P47" s="664" t="n"/>
      <c r="Q47" s="664" t="n"/>
      <c r="R47" s="664" t="n"/>
      <c r="S47" s="665" t="n"/>
    </row>
    <row r="48" ht="24" customHeight="1" thickBot="1">
      <c r="A48" s="606">
        <f>'Finding Report'!A49</f>
        <v/>
      </c>
      <c r="B48" s="607" t="n"/>
      <c r="C48" s="607" t="n"/>
      <c r="D48" s="607" t="n"/>
      <c r="E48" s="608" t="n"/>
      <c r="F48" s="720">
        <f>'Finding Report'!F49</f>
        <v/>
      </c>
      <c r="G48" s="607" t="n"/>
      <c r="H48" s="608" t="n"/>
      <c r="I48" s="720">
        <f>'Finding Report'!I49</f>
        <v/>
      </c>
      <c r="J48" s="607" t="n"/>
      <c r="K48" s="607" t="n"/>
      <c r="L48" s="607" t="n"/>
      <c r="M48" s="608" t="n"/>
      <c r="N48" s="668">
        <f>'Serviced Report'!N41</f>
        <v/>
      </c>
      <c r="O48" s="664" t="n"/>
      <c r="P48" s="664" t="n"/>
      <c r="Q48" s="664" t="n"/>
      <c r="R48" s="664" t="n"/>
      <c r="S48" s="665" t="n"/>
    </row>
    <row r="49" ht="24" customHeight="1" thickBot="1">
      <c r="A49" s="606">
        <f>'Finding Report'!A50</f>
        <v/>
      </c>
      <c r="B49" s="607" t="n"/>
      <c r="C49" s="607" t="n"/>
      <c r="D49" s="607" t="n"/>
      <c r="E49" s="608" t="n"/>
      <c r="F49" s="720">
        <f>'Finding Report'!F50</f>
        <v/>
      </c>
      <c r="G49" s="607" t="n"/>
      <c r="H49" s="608" t="n"/>
      <c r="I49" s="720">
        <f>'Finding Report'!I50</f>
        <v/>
      </c>
      <c r="J49" s="607" t="n"/>
      <c r="K49" s="607" t="n"/>
      <c r="L49" s="607" t="n"/>
      <c r="M49" s="608" t="n"/>
      <c r="N49" s="668">
        <f>'Serviced Report'!N42</f>
        <v/>
      </c>
      <c r="O49" s="664" t="n"/>
      <c r="P49" s="664" t="n"/>
      <c r="Q49" s="664" t="n"/>
      <c r="R49" s="664" t="n"/>
      <c r="S49" s="665" t="n"/>
    </row>
    <row r="50" ht="24" customHeight="1" thickBot="1">
      <c r="A50" s="606">
        <f>'Finding Report'!A51</f>
        <v/>
      </c>
      <c r="B50" s="607" t="n"/>
      <c r="C50" s="607" t="n"/>
      <c r="D50" s="607" t="n"/>
      <c r="E50" s="608" t="n"/>
      <c r="F50" s="720">
        <f>'Finding Report'!F51</f>
        <v/>
      </c>
      <c r="G50" s="607" t="n"/>
      <c r="H50" s="608" t="n"/>
      <c r="I50" s="720">
        <f>'Finding Report'!I51</f>
        <v/>
      </c>
      <c r="J50" s="607" t="n"/>
      <c r="K50" s="607" t="n"/>
      <c r="L50" s="607" t="n"/>
      <c r="M50" s="608" t="n"/>
      <c r="N50" s="668">
        <f>'Serviced Report'!N43</f>
        <v/>
      </c>
      <c r="O50" s="664" t="n"/>
      <c r="P50" s="664" t="n"/>
      <c r="Q50" s="664" t="n"/>
      <c r="R50" s="664" t="n"/>
      <c r="S50" s="665" t="n"/>
    </row>
    <row r="51" ht="24" customHeight="1" thickBot="1">
      <c r="A51" s="606">
        <f>'Finding Report'!A52</f>
        <v/>
      </c>
      <c r="B51" s="607" t="n"/>
      <c r="C51" s="607" t="n"/>
      <c r="D51" s="607" t="n"/>
      <c r="E51" s="608" t="n"/>
      <c r="F51" s="720">
        <f>'Finding Report'!F52</f>
        <v/>
      </c>
      <c r="G51" s="607" t="n"/>
      <c r="H51" s="608" t="n"/>
      <c r="I51" s="720">
        <f>'Finding Report'!I52</f>
        <v/>
      </c>
      <c r="J51" s="607" t="n"/>
      <c r="K51" s="607" t="n"/>
      <c r="L51" s="607" t="n"/>
      <c r="M51" s="608" t="n"/>
      <c r="N51" s="668">
        <f>'Serviced Report'!N44</f>
        <v/>
      </c>
      <c r="O51" s="664" t="n"/>
      <c r="P51" s="664" t="n"/>
      <c r="Q51" s="664" t="n"/>
      <c r="R51" s="664" t="n"/>
      <c r="S51" s="665" t="n"/>
    </row>
    <row r="52" ht="24" customHeight="1" thickBot="1">
      <c r="A52" s="606">
        <f>'Finding Report'!A53</f>
        <v/>
      </c>
      <c r="B52" s="607" t="n"/>
      <c r="C52" s="607" t="n"/>
      <c r="D52" s="607" t="n"/>
      <c r="E52" s="608" t="n"/>
      <c r="F52" s="720">
        <f>'Finding Report'!F53</f>
        <v/>
      </c>
      <c r="G52" s="607" t="n"/>
      <c r="H52" s="608" t="n"/>
      <c r="I52" s="720">
        <f>'Finding Report'!I53</f>
        <v/>
      </c>
      <c r="J52" s="607" t="n"/>
      <c r="K52" s="607" t="n"/>
      <c r="L52" s="607" t="n"/>
      <c r="M52" s="608" t="n"/>
      <c r="N52" s="668">
        <f>'Serviced Report'!N45</f>
        <v/>
      </c>
      <c r="O52" s="664" t="n"/>
      <c r="P52" s="664" t="n"/>
      <c r="Q52" s="664" t="n"/>
      <c r="R52" s="664" t="n"/>
      <c r="S52" s="665" t="n"/>
    </row>
    <row r="53" ht="24" customHeight="1" thickBot="1">
      <c r="A53" s="606">
        <f>'Finding Report'!A54</f>
        <v/>
      </c>
      <c r="B53" s="607" t="n"/>
      <c r="C53" s="607" t="n"/>
      <c r="D53" s="607" t="n"/>
      <c r="E53" s="608" t="n"/>
      <c r="F53" s="720">
        <f>'Finding Report'!F54</f>
        <v/>
      </c>
      <c r="G53" s="607" t="n"/>
      <c r="H53" s="608" t="n"/>
      <c r="I53" s="720">
        <f>'Finding Report'!I54</f>
        <v/>
      </c>
      <c r="J53" s="607" t="n"/>
      <c r="K53" s="607" t="n"/>
      <c r="L53" s="607" t="n"/>
      <c r="M53" s="608" t="n"/>
      <c r="N53" s="668">
        <f>'Serviced Report'!N46</f>
        <v/>
      </c>
      <c r="O53" s="664" t="n"/>
      <c r="P53" s="664" t="n"/>
      <c r="Q53" s="664" t="n"/>
      <c r="R53" s="664" t="n"/>
      <c r="S53" s="665" t="n"/>
    </row>
    <row r="54" ht="24" customHeight="1" thickBot="1">
      <c r="A54" s="606">
        <f>'Finding Report'!A55</f>
        <v/>
      </c>
      <c r="B54" s="607" t="n"/>
      <c r="C54" s="607" t="n"/>
      <c r="D54" s="607" t="n"/>
      <c r="E54" s="608" t="n"/>
      <c r="F54" s="720">
        <f>'Finding Report'!F55</f>
        <v/>
      </c>
      <c r="G54" s="607" t="n"/>
      <c r="H54" s="608" t="n"/>
      <c r="I54" s="720">
        <f>'Finding Report'!I55</f>
        <v/>
      </c>
      <c r="J54" s="607" t="n"/>
      <c r="K54" s="607" t="n"/>
      <c r="L54" s="607" t="n"/>
      <c r="M54" s="608" t="n"/>
      <c r="N54" s="668">
        <f>'Serviced Report'!N47</f>
        <v/>
      </c>
      <c r="O54" s="664" t="n"/>
      <c r="P54" s="664" t="n"/>
      <c r="Q54" s="664" t="n"/>
      <c r="R54" s="664" t="n"/>
      <c r="S54" s="665" t="n"/>
    </row>
    <row r="55" ht="24" customHeight="1" thickBot="1">
      <c r="A55" s="606">
        <f>'Finding Report'!A56</f>
        <v/>
      </c>
      <c r="B55" s="607" t="n"/>
      <c r="C55" s="607" t="n"/>
      <c r="D55" s="607" t="n"/>
      <c r="E55" s="608" t="n"/>
      <c r="F55" s="720">
        <f>'Finding Report'!F56</f>
        <v/>
      </c>
      <c r="G55" s="607" t="n"/>
      <c r="H55" s="608" t="n"/>
      <c r="I55" s="720">
        <f>'Finding Report'!I56</f>
        <v/>
      </c>
      <c r="J55" s="607" t="n"/>
      <c r="K55" s="607" t="n"/>
      <c r="L55" s="607" t="n"/>
      <c r="M55" s="608" t="n"/>
      <c r="N55" s="668">
        <f>'Serviced Report'!N48</f>
        <v/>
      </c>
      <c r="O55" s="664" t="n"/>
      <c r="P55" s="664" t="n"/>
      <c r="Q55" s="664" t="n"/>
      <c r="R55" s="664" t="n"/>
      <c r="S55" s="665" t="n"/>
    </row>
    <row r="56" ht="24" customHeight="1" thickBot="1">
      <c r="A56" s="727">
        <f>'Finding Report'!A57</f>
        <v/>
      </c>
      <c r="B56" s="607" t="n"/>
      <c r="C56" s="607" t="n"/>
      <c r="D56" s="607" t="n"/>
      <c r="E56" s="608" t="n"/>
      <c r="F56" s="728">
        <f>'Finding Report'!F57</f>
        <v/>
      </c>
      <c r="G56" s="607" t="n"/>
      <c r="H56" s="608" t="n"/>
      <c r="I56" s="728">
        <f>'Finding Report'!I57</f>
        <v/>
      </c>
      <c r="J56" s="607" t="n"/>
      <c r="K56" s="607" t="n"/>
      <c r="L56" s="607" t="n"/>
      <c r="M56" s="608" t="n"/>
      <c r="N56" s="699" t="n"/>
      <c r="O56" s="664" t="n"/>
      <c r="P56" s="664" t="n"/>
      <c r="Q56" s="664" t="n"/>
      <c r="R56" s="664" t="n"/>
      <c r="S56" s="665" t="n"/>
    </row>
    <row r="57" ht="24" customHeight="1" thickBot="1">
      <c r="A57" s="727">
        <f>'Finding Report'!A58</f>
        <v/>
      </c>
      <c r="B57" s="607" t="n"/>
      <c r="C57" s="607" t="n"/>
      <c r="D57" s="607" t="n"/>
      <c r="E57" s="608" t="n"/>
      <c r="F57" s="728">
        <f>'Finding Report'!F58</f>
        <v/>
      </c>
      <c r="G57" s="607" t="n"/>
      <c r="H57" s="608" t="n"/>
      <c r="I57" s="728">
        <f>'Finding Report'!I58</f>
        <v/>
      </c>
      <c r="J57" s="607" t="n"/>
      <c r="K57" s="607" t="n"/>
      <c r="L57" s="607" t="n"/>
      <c r="M57" s="608" t="n"/>
      <c r="N57" s="699" t="n"/>
      <c r="O57" s="664" t="n"/>
      <c r="P57" s="664" t="n"/>
      <c r="Q57" s="664" t="n"/>
      <c r="R57" s="664" t="n"/>
      <c r="S57" s="665" t="n"/>
    </row>
    <row r="58" ht="24" customHeight="1" thickBot="1">
      <c r="A58" s="727" t="n"/>
      <c r="B58" s="607" t="n"/>
      <c r="C58" s="607" t="n"/>
      <c r="D58" s="607" t="n"/>
      <c r="E58" s="608" t="n"/>
      <c r="F58" s="728" t="n"/>
      <c r="G58" s="607" t="n"/>
      <c r="H58" s="608" t="n"/>
      <c r="I58" s="728" t="n"/>
      <c r="J58" s="607" t="n"/>
      <c r="K58" s="607" t="n"/>
      <c r="L58" s="607" t="n"/>
      <c r="M58" s="608" t="n"/>
      <c r="N58" s="699" t="n"/>
      <c r="O58" s="664" t="n"/>
      <c r="P58" s="664" t="n"/>
      <c r="Q58" s="664" t="n"/>
      <c r="R58" s="664" t="n"/>
      <c r="S58" s="665" t="n"/>
    </row>
    <row r="59" ht="24" customHeight="1" thickBot="1">
      <c r="A59" s="727">
        <f>'Finding Report'!A59</f>
        <v/>
      </c>
      <c r="B59" s="607" t="n"/>
      <c r="C59" s="607" t="n"/>
      <c r="D59" s="607" t="n"/>
      <c r="E59" s="608" t="n"/>
      <c r="F59" s="728">
        <f>'Finding Report'!F59</f>
        <v/>
      </c>
      <c r="G59" s="607" t="n"/>
      <c r="H59" s="608" t="n"/>
      <c r="I59" s="728">
        <f>'Finding Report'!I59</f>
        <v/>
      </c>
      <c r="J59" s="607" t="n"/>
      <c r="K59" s="607" t="n"/>
      <c r="L59" s="607" t="n"/>
      <c r="M59" s="608" t="n"/>
      <c r="N59" s="699" t="n"/>
      <c r="O59" s="664" t="n"/>
      <c r="P59" s="664" t="n"/>
      <c r="Q59" s="664" t="n"/>
      <c r="R59" s="664" t="n"/>
      <c r="S59" s="665" t="n"/>
    </row>
    <row r="60" ht="24" customHeight="1" thickBot="1">
      <c r="A60" s="727">
        <f>'Finding Report'!A60</f>
        <v/>
      </c>
      <c r="B60" s="607" t="n"/>
      <c r="C60" s="607" t="n"/>
      <c r="D60" s="607" t="n"/>
      <c r="E60" s="608" t="n"/>
      <c r="F60" s="728">
        <f>'Finding Report'!F60</f>
        <v/>
      </c>
      <c r="G60" s="607" t="n"/>
      <c r="H60" s="608" t="n"/>
      <c r="I60" s="728">
        <f>'Finding Report'!I60</f>
        <v/>
      </c>
      <c r="J60" s="607" t="n"/>
      <c r="K60" s="607" t="n"/>
      <c r="L60" s="607" t="n"/>
      <c r="M60" s="608" t="n"/>
      <c r="N60" s="699" t="n"/>
      <c r="O60" s="664" t="n"/>
      <c r="P60" s="664" t="n"/>
      <c r="Q60" s="664" t="n"/>
      <c r="R60" s="664" t="n"/>
      <c r="S60" s="665" t="n"/>
    </row>
    <row r="61" ht="24" customHeight="1" thickBot="1">
      <c r="A61" s="623" t="inlineStr">
        <is>
          <t>FINAL TEST (HYDROTEST/LEAKED TEST)  - AFTER SERVICING</t>
        </is>
      </c>
      <c r="B61" s="621" t="n"/>
      <c r="C61" s="621" t="n"/>
      <c r="D61" s="621" t="n"/>
      <c r="E61" s="621" t="n"/>
      <c r="F61" s="621" t="n"/>
      <c r="G61" s="621" t="n"/>
      <c r="H61" s="621" t="n"/>
      <c r="I61" s="621" t="n"/>
      <c r="J61" s="621" t="n"/>
      <c r="K61" s="621" t="n"/>
      <c r="L61" s="621" t="n"/>
      <c r="M61" s="621" t="n"/>
      <c r="N61" s="621" t="n"/>
      <c r="O61" s="621" t="n"/>
      <c r="P61" s="621" t="n"/>
      <c r="Q61" s="621" t="n"/>
      <c r="R61" s="621" t="n"/>
      <c r="S61" s="613" t="n"/>
    </row>
    <row r="62" ht="24" customHeight="1" thickBot="1">
      <c r="A62" s="677" t="inlineStr">
        <is>
          <t>TYPE OF TEST</t>
        </is>
      </c>
      <c r="B62" s="678" t="n"/>
      <c r="C62" s="678" t="n"/>
      <c r="D62" s="678" t="n"/>
      <c r="E62" s="678" t="n"/>
      <c r="F62" s="679" t="n"/>
      <c r="G62" s="332" t="inlineStr">
        <is>
          <t>HYDROTEST</t>
        </is>
      </c>
      <c r="H62" s="678" t="n"/>
      <c r="I62" s="678" t="n"/>
      <c r="J62" s="678" t="n"/>
      <c r="K62" s="677" t="inlineStr">
        <is>
          <t>TEST MEDIUM</t>
        </is>
      </c>
      <c r="L62" s="678" t="n"/>
      <c r="M62" s="678" t="n"/>
      <c r="N62" s="679" t="n"/>
      <c r="O62" s="333" t="inlineStr">
        <is>
          <t>WATER</t>
        </is>
      </c>
      <c r="P62" s="678" t="n"/>
      <c r="Q62" s="678" t="n"/>
      <c r="R62" s="678" t="n"/>
      <c r="S62" s="679" t="n"/>
    </row>
    <row r="63" ht="24" customHeight="1" thickBot="1">
      <c r="A63" s="334" t="inlineStr">
        <is>
          <t>DESCRIPTION</t>
        </is>
      </c>
      <c r="B63" s="678" t="n"/>
      <c r="C63" s="678" t="n"/>
      <c r="D63" s="678" t="n"/>
      <c r="E63" s="678" t="n"/>
      <c r="F63" s="681" t="n"/>
      <c r="G63" s="337" t="inlineStr">
        <is>
          <t>PRESSURE</t>
        </is>
      </c>
      <c r="H63" s="678" t="n"/>
      <c r="I63" s="678" t="n"/>
      <c r="J63" s="681" t="n"/>
      <c r="K63" s="313" t="inlineStr">
        <is>
          <t>DURATION</t>
        </is>
      </c>
      <c r="L63" s="678" t="n"/>
      <c r="M63" s="678" t="n"/>
      <c r="N63" s="681" t="n"/>
      <c r="O63" s="337" t="inlineStr">
        <is>
          <t>RESULT &amp; REMARKS</t>
        </is>
      </c>
      <c r="P63" s="678" t="n"/>
      <c r="Q63" s="678" t="n"/>
      <c r="R63" s="678" t="n"/>
      <c r="S63" s="681" t="n"/>
    </row>
    <row r="64" ht="24" customHeight="1">
      <c r="A64" s="58" t="inlineStr">
        <is>
          <t>A</t>
        </is>
      </c>
      <c r="B64" s="339" t="inlineStr">
        <is>
          <t>SHELL</t>
        </is>
      </c>
      <c r="C64" s="682" t="n"/>
      <c r="D64" s="682" t="n"/>
      <c r="E64" s="682" t="n"/>
      <c r="F64" s="683" t="n"/>
      <c r="G64" s="414">
        <f>'Hydrotest Only'!G65</f>
        <v/>
      </c>
      <c r="H64" s="682" t="n"/>
      <c r="I64" s="682" t="n"/>
      <c r="J64" s="683" t="n"/>
      <c r="K64" s="684">
        <f>'Hydrotest Only'!K65</f>
        <v/>
      </c>
      <c r="L64" s="685" t="n"/>
      <c r="M64" s="685" t="n"/>
      <c r="N64" s="686" t="n"/>
      <c r="O64" s="414" t="inlineStr">
        <is>
          <t>NO LEAK &amp; ACCEPTED</t>
        </is>
      </c>
      <c r="P64" s="682" t="n"/>
      <c r="Q64" s="682" t="n"/>
      <c r="R64" s="682" t="n"/>
      <c r="S64" s="683" t="n"/>
    </row>
    <row r="65" ht="24" customHeight="1">
      <c r="A65" s="56" t="inlineStr">
        <is>
          <t>B</t>
        </is>
      </c>
      <c r="B65" s="342" t="inlineStr">
        <is>
          <t>BACKSEAT</t>
        </is>
      </c>
      <c r="C65" s="687" t="n"/>
      <c r="D65" s="687" t="n"/>
      <c r="E65" s="687" t="n"/>
      <c r="F65" s="688" t="n"/>
      <c r="G65" s="414">
        <f>'Hydrotest Only'!G66</f>
        <v/>
      </c>
      <c r="H65" s="682" t="n"/>
      <c r="I65" s="682" t="n"/>
      <c r="J65" s="683" t="n"/>
      <c r="K65" s="444">
        <f>'Hydrotest Only'!K66</f>
        <v/>
      </c>
      <c r="L65" s="687" t="n"/>
      <c r="M65" s="687" t="n"/>
      <c r="N65" s="688" t="n"/>
      <c r="O65" s="417" t="inlineStr">
        <is>
          <t>NO LEAK &amp; ACCEPTED</t>
        </is>
      </c>
      <c r="P65" s="687" t="n"/>
      <c r="Q65" s="687" t="n"/>
      <c r="R65" s="687" t="n"/>
      <c r="S65" s="688" t="n"/>
    </row>
    <row r="66" ht="24" customHeight="1" thickBot="1">
      <c r="A66" s="57" t="inlineStr">
        <is>
          <t>C</t>
        </is>
      </c>
      <c r="B66" s="345" t="inlineStr">
        <is>
          <t>SEAT</t>
        </is>
      </c>
      <c r="C66" s="691" t="n"/>
      <c r="D66" s="691" t="n"/>
      <c r="E66" s="691" t="n"/>
      <c r="F66" s="692" t="n"/>
      <c r="G66" s="414">
        <f>'Hydrotest Only'!G67</f>
        <v/>
      </c>
      <c r="H66" s="682" t="n"/>
      <c r="I66" s="682" t="n"/>
      <c r="J66" s="683" t="n"/>
      <c r="K66" s="445">
        <f>'Hydrotest Only'!K67</f>
        <v/>
      </c>
      <c r="L66" s="691" t="n"/>
      <c r="M66" s="691" t="n"/>
      <c r="N66" s="692" t="n"/>
      <c r="O66" s="420" t="inlineStr">
        <is>
          <t>NO LEAK &amp; ACCEPTED</t>
        </is>
      </c>
      <c r="P66" s="691" t="n"/>
      <c r="Q66" s="691" t="n"/>
      <c r="R66" s="691" t="n"/>
      <c r="S66" s="692" t="n"/>
    </row>
    <row r="67" ht="24" customHeight="1" thickBot="1">
      <c r="A67" s="273" t="inlineStr">
        <is>
          <t>TEST ACCORDANCE TO</t>
        </is>
      </c>
      <c r="B67" s="678" t="n"/>
      <c r="C67" s="678" t="n"/>
      <c r="D67" s="678" t="n"/>
      <c r="E67" s="678" t="n"/>
      <c r="F67" s="681" t="n"/>
      <c r="G67" s="273" t="n"/>
      <c r="H67" s="678" t="n"/>
      <c r="I67" s="678" t="n"/>
      <c r="J67" s="678" t="n"/>
      <c r="K67" s="678" t="n"/>
      <c r="L67" s="678" t="n"/>
      <c r="M67" s="678" t="n"/>
      <c r="N67" s="678" t="n"/>
      <c r="O67" s="678" t="n"/>
      <c r="P67" s="678" t="n"/>
      <c r="Q67" s="678" t="n"/>
      <c r="R67" s="678" t="n"/>
      <c r="S67" s="681" t="n"/>
    </row>
    <row r="68" ht="22.9" customFormat="1" customHeight="1" s="21" thickBot="1">
      <c r="A68" s="707" t="inlineStr">
        <is>
          <t xml:space="preserve">COMMENTS AND RECOMMENDATION </t>
        </is>
      </c>
      <c r="B68" s="678" t="n"/>
      <c r="C68" s="678" t="n"/>
      <c r="D68" s="678" t="n"/>
      <c r="E68" s="678" t="n"/>
      <c r="F68" s="678" t="n"/>
      <c r="G68" s="678" t="n"/>
      <c r="H68" s="678" t="n"/>
      <c r="I68" s="678" t="n"/>
      <c r="J68" s="678" t="n"/>
      <c r="K68" s="678" t="n"/>
      <c r="L68" s="678" t="n"/>
      <c r="M68" s="678" t="n"/>
      <c r="N68" s="678" t="n"/>
      <c r="O68" s="678" t="n"/>
      <c r="P68" s="678" t="n"/>
      <c r="Q68" s="678" t="n"/>
      <c r="R68" s="678" t="n"/>
      <c r="S68" s="679" t="n"/>
    </row>
    <row r="69" ht="23.25" customFormat="1" customHeight="1" s="21">
      <c r="A69" s="19" t="n"/>
      <c r="B69" s="369" t="n"/>
      <c r="C69" s="682" t="n"/>
      <c r="D69" s="682" t="n"/>
      <c r="E69" s="682" t="n"/>
      <c r="F69" s="682" t="n"/>
      <c r="G69" s="682" t="n"/>
      <c r="H69" s="682" t="n"/>
      <c r="I69" s="682" t="n"/>
      <c r="J69" s="682" t="n"/>
      <c r="K69" s="682" t="n"/>
      <c r="L69" s="682" t="n"/>
      <c r="M69" s="682" t="n"/>
      <c r="N69" s="682" t="n"/>
      <c r="O69" s="682" t="n"/>
      <c r="P69" s="682" t="n"/>
      <c r="Q69" s="682" t="n"/>
      <c r="R69" s="682" t="n"/>
      <c r="S69" s="20" t="n"/>
    </row>
    <row r="70" ht="23.25" customFormat="1" customHeight="1" s="21">
      <c r="A70" s="19" t="n"/>
      <c r="B70" s="369" t="n"/>
      <c r="C70" s="682" t="n"/>
      <c r="D70" s="682" t="n"/>
      <c r="E70" s="682" t="n"/>
      <c r="F70" s="682" t="n"/>
      <c r="G70" s="682" t="n"/>
      <c r="H70" s="682" t="n"/>
      <c r="I70" s="682" t="n"/>
      <c r="J70" s="682" t="n"/>
      <c r="K70" s="682" t="n"/>
      <c r="L70" s="682" t="n"/>
      <c r="M70" s="682" t="n"/>
      <c r="N70" s="682" t="n"/>
      <c r="O70" s="682" t="n"/>
      <c r="P70" s="682" t="n"/>
      <c r="Q70" s="682" t="n"/>
      <c r="R70" s="682" t="n"/>
      <c r="S70" s="20" t="n"/>
    </row>
    <row r="71" ht="23.25" customFormat="1" customHeight="1" s="21">
      <c r="A71" s="19" t="n"/>
      <c r="B71" s="369" t="n"/>
      <c r="C71" s="682" t="n"/>
      <c r="D71" s="682" t="n"/>
      <c r="E71" s="682" t="n"/>
      <c r="F71" s="682" t="n"/>
      <c r="G71" s="682" t="n"/>
      <c r="H71" s="682" t="n"/>
      <c r="I71" s="682" t="n"/>
      <c r="J71" s="682" t="n"/>
      <c r="K71" s="682" t="n"/>
      <c r="L71" s="682" t="n"/>
      <c r="M71" s="682" t="n"/>
      <c r="N71" s="682" t="n"/>
      <c r="O71" s="682" t="n"/>
      <c r="P71" s="682" t="n"/>
      <c r="Q71" s="682" t="n"/>
      <c r="R71" s="682" t="n"/>
      <c r="S71" s="20" t="n"/>
    </row>
    <row r="72" ht="23.25" customFormat="1" customHeight="1" s="21">
      <c r="A72" s="19" t="n"/>
      <c r="B72" s="369" t="n"/>
      <c r="C72" s="369" t="n"/>
      <c r="D72" s="369" t="n"/>
      <c r="E72" s="369" t="n"/>
      <c r="F72" s="369" t="n"/>
      <c r="G72" s="369" t="n"/>
      <c r="H72" s="369" t="n"/>
      <c r="I72" s="369" t="n"/>
      <c r="J72" s="369" t="n"/>
      <c r="K72" s="369" t="n"/>
      <c r="L72" s="369" t="n"/>
      <c r="M72" s="369" t="n"/>
      <c r="N72" s="369" t="n"/>
      <c r="O72" s="369" t="n"/>
      <c r="P72" s="369" t="n"/>
      <c r="Q72" s="369" t="n"/>
      <c r="R72" s="369" t="n"/>
      <c r="S72" s="20" t="n"/>
    </row>
    <row r="73" ht="23.25" customFormat="1" customHeight="1" s="21">
      <c r="A73" s="19" t="n"/>
      <c r="B73" s="369" t="n"/>
      <c r="C73" s="369" t="n"/>
      <c r="D73" s="369" t="n"/>
      <c r="E73" s="369" t="n"/>
      <c r="F73" s="369" t="n"/>
      <c r="G73" s="369" t="n"/>
      <c r="H73" s="369" t="n"/>
      <c r="I73" s="369" t="n"/>
      <c r="J73" s="369" t="n"/>
      <c r="K73" s="369" t="n"/>
      <c r="L73" s="369" t="n"/>
      <c r="M73" s="369" t="n"/>
      <c r="N73" s="369" t="n"/>
      <c r="O73" s="369" t="n"/>
      <c r="P73" s="369" t="n"/>
      <c r="Q73" s="369" t="n"/>
      <c r="R73" s="369" t="n"/>
      <c r="S73" s="20" t="n"/>
    </row>
    <row r="74" ht="23.25" customFormat="1" customHeight="1" s="21">
      <c r="A74" s="19" t="n"/>
      <c r="B74" s="369" t="n"/>
      <c r="C74" s="369" t="n"/>
      <c r="D74" s="369" t="n"/>
      <c r="E74" s="369" t="n"/>
      <c r="F74" s="369" t="n"/>
      <c r="G74" s="369" t="n"/>
      <c r="H74" s="369" t="n"/>
      <c r="I74" s="369" t="n"/>
      <c r="J74" s="369" t="n"/>
      <c r="K74" s="369" t="n"/>
      <c r="L74" s="369" t="n"/>
      <c r="M74" s="369" t="n"/>
      <c r="N74" s="369" t="n"/>
      <c r="O74" s="369" t="n"/>
      <c r="P74" s="369" t="n"/>
      <c r="Q74" s="369" t="n"/>
      <c r="R74" s="369" t="n"/>
      <c r="S74" s="20" t="n"/>
    </row>
    <row r="75" ht="23.25" customFormat="1" customHeight="1" s="21">
      <c r="A75" s="19" t="n"/>
      <c r="B75" s="369" t="n"/>
      <c r="C75" s="682" t="n"/>
      <c r="D75" s="682" t="n"/>
      <c r="E75" s="682" t="n"/>
      <c r="F75" s="682" t="n"/>
      <c r="G75" s="682" t="n"/>
      <c r="H75" s="682" t="n"/>
      <c r="I75" s="682" t="n"/>
      <c r="J75" s="682" t="n"/>
      <c r="K75" s="682" t="n"/>
      <c r="L75" s="682" t="n"/>
      <c r="M75" s="682" t="n"/>
      <c r="N75" s="682" t="n"/>
      <c r="O75" s="682" t="n"/>
      <c r="P75" s="682" t="n"/>
      <c r="Q75" s="682" t="n"/>
      <c r="R75" s="682" t="n"/>
      <c r="S75" s="20" t="n"/>
    </row>
    <row r="76" ht="23.25" customFormat="1" customHeight="1" s="21">
      <c r="A76" s="19" t="n"/>
      <c r="B76" s="369" t="n"/>
      <c r="C76" s="369" t="n"/>
      <c r="D76" s="369" t="n"/>
      <c r="E76" s="369" t="n"/>
      <c r="F76" s="369" t="n"/>
      <c r="G76" s="369" t="n"/>
      <c r="H76" s="369" t="n"/>
      <c r="I76" s="369" t="n"/>
      <c r="J76" s="369" t="n"/>
      <c r="K76" s="369" t="n"/>
      <c r="L76" s="369" t="n"/>
      <c r="M76" s="369" t="n"/>
      <c r="N76" s="369" t="n"/>
      <c r="O76" s="369" t="n"/>
      <c r="P76" s="369" t="n"/>
      <c r="Q76" s="369" t="n"/>
      <c r="R76" s="369" t="n"/>
      <c r="S76" s="20" t="n"/>
    </row>
    <row r="77" ht="23.25" customFormat="1" customHeight="1" s="21">
      <c r="A77" s="19" t="n"/>
      <c r="B77" s="446" t="n"/>
      <c r="C77" s="687" t="n"/>
      <c r="D77" s="687" t="n"/>
      <c r="E77" s="687" t="n"/>
      <c r="F77" s="687" t="n"/>
      <c r="G77" s="687" t="n"/>
      <c r="H77" s="687" t="n"/>
      <c r="I77" s="687" t="n"/>
      <c r="J77" s="687" t="n"/>
      <c r="K77" s="687" t="n"/>
      <c r="L77" s="687" t="n"/>
      <c r="M77" s="687" t="n"/>
      <c r="N77" s="687" t="n"/>
      <c r="O77" s="687" t="n"/>
      <c r="P77" s="687" t="n"/>
      <c r="Q77" s="687" t="n"/>
      <c r="R77" s="687" t="n"/>
      <c r="S77" s="20" t="n"/>
    </row>
    <row r="78" ht="23.25" customFormat="1" customHeight="1" s="21">
      <c r="A78" s="19" t="n"/>
      <c r="B78" s="369" t="n"/>
      <c r="C78" s="682" t="n"/>
      <c r="D78" s="682" t="n"/>
      <c r="E78" s="682" t="n"/>
      <c r="F78" s="682" t="n"/>
      <c r="G78" s="682" t="n"/>
      <c r="H78" s="682" t="n"/>
      <c r="I78" s="682" t="n"/>
      <c r="J78" s="682" t="n"/>
      <c r="K78" s="682" t="n"/>
      <c r="L78" s="682" t="n"/>
      <c r="M78" s="682" t="n"/>
      <c r="N78" s="682" t="n"/>
      <c r="O78" s="682" t="n"/>
      <c r="P78" s="682" t="n"/>
      <c r="Q78" s="682" t="n"/>
      <c r="R78" s="682" t="n"/>
      <c r="S78" s="20" t="n"/>
    </row>
    <row r="79" ht="1.9" customFormat="1" customHeight="1" s="21" thickBot="1">
      <c r="A79" s="22" t="n"/>
      <c r="B79" s="23" t="n"/>
      <c r="C79" s="23" t="n"/>
      <c r="D79" s="23" t="n"/>
      <c r="E79" s="23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5" t="n"/>
    </row>
    <row r="80" ht="16.15" customFormat="1" customHeight="1" s="21">
      <c r="A80" s="715" t="inlineStr">
        <is>
          <t>PREPARED BY</t>
        </is>
      </c>
      <c r="B80" s="705" t="n"/>
      <c r="C80" s="705" t="n"/>
      <c r="D80" s="705" t="n"/>
      <c r="E80" s="705" t="n"/>
      <c r="F80" s="706" t="n"/>
      <c r="G80" s="715" t="inlineStr">
        <is>
          <t>CLIENT REPRESENTATIVE</t>
        </is>
      </c>
      <c r="H80" s="705" t="n"/>
      <c r="I80" s="705" t="n"/>
      <c r="J80" s="705" t="n"/>
      <c r="K80" s="705" t="n"/>
      <c r="L80" s="706" t="n"/>
      <c r="M80" s="715" t="inlineStr">
        <is>
          <t>APPROVED BY</t>
        </is>
      </c>
      <c r="N80" s="705" t="n"/>
      <c r="O80" s="705" t="n"/>
      <c r="P80" s="705" t="n"/>
      <c r="Q80" s="705" t="n"/>
      <c r="R80" s="705" t="n"/>
      <c r="S80" s="706" t="n"/>
    </row>
    <row r="81" ht="16.9" customFormat="1" customHeight="1" s="21" thickBot="1">
      <c r="A81" s="716" t="n"/>
      <c r="B81" s="712" t="n"/>
      <c r="C81" s="712" t="n"/>
      <c r="D81" s="712" t="n"/>
      <c r="E81" s="712" t="n"/>
      <c r="F81" s="713" t="n"/>
      <c r="G81" s="716" t="n"/>
      <c r="H81" s="712" t="n"/>
      <c r="I81" s="712" t="n"/>
      <c r="J81" s="712" t="n"/>
      <c r="K81" s="712" t="n"/>
      <c r="L81" s="713" t="n"/>
      <c r="M81" s="716" t="n"/>
      <c r="N81" s="712" t="n"/>
      <c r="O81" s="712" t="n"/>
      <c r="P81" s="712" t="n"/>
      <c r="Q81" s="712" t="n"/>
      <c r="R81" s="712" t="n"/>
      <c r="S81" s="713" t="n"/>
    </row>
    <row r="82" ht="16.15" customFormat="1" customHeight="1" s="21">
      <c r="A82" s="34" t="n"/>
      <c r="B82" s="35" t="n"/>
      <c r="C82" s="35" t="n"/>
      <c r="D82" s="35" t="n"/>
      <c r="E82" s="35" t="n"/>
      <c r="F82" s="35" t="n"/>
      <c r="G82" s="36" t="inlineStr">
        <is>
          <t> </t>
        </is>
      </c>
      <c r="H82" s="37" t="n"/>
      <c r="I82" s="37" t="n"/>
      <c r="J82" s="37" t="n"/>
      <c r="K82" s="37" t="n"/>
      <c r="L82" s="20" t="inlineStr">
        <is>
          <t> </t>
        </is>
      </c>
      <c r="M82" s="381" t="n"/>
      <c r="N82" s="381" t="n"/>
      <c r="O82" s="381" t="n"/>
      <c r="P82" s="381" t="n"/>
      <c r="Q82" s="381" t="n"/>
      <c r="R82" s="381" t="n"/>
      <c r="S82" s="382" t="n"/>
    </row>
    <row r="83" ht="16.15" customFormat="1" customHeight="1" s="21">
      <c r="A83" s="38" t="n"/>
      <c r="B83" s="163" t="n"/>
      <c r="C83" s="163" t="n"/>
      <c r="D83" s="163" t="n"/>
      <c r="E83" s="163" t="n"/>
      <c r="F83" s="163" t="n"/>
      <c r="G83" s="36" t="n"/>
      <c r="H83" s="37" t="n"/>
      <c r="I83" s="37" t="n"/>
      <c r="J83" s="37" t="n"/>
      <c r="K83" s="37" t="n"/>
      <c r="L83" s="20" t="n"/>
      <c r="M83" s="37" t="n"/>
      <c r="N83" s="37" t="n"/>
      <c r="O83" s="37" t="n"/>
      <c r="P83" s="37" t="n"/>
      <c r="Q83" s="37" t="n"/>
      <c r="R83" s="37" t="n"/>
      <c r="S83" s="20" t="n"/>
    </row>
    <row r="84" ht="16.15" customFormat="1" customHeight="1" s="21">
      <c r="A84" s="38" t="n"/>
      <c r="B84" s="163" t="n"/>
      <c r="C84" s="163" t="n"/>
      <c r="D84" s="163" t="n"/>
      <c r="E84" s="163" t="n"/>
      <c r="F84" s="163" t="n"/>
      <c r="G84" s="36" t="n"/>
      <c r="H84" s="37" t="n"/>
      <c r="I84" s="37" t="n"/>
      <c r="J84" s="37" t="n"/>
      <c r="K84" s="37" t="n"/>
      <c r="L84" s="20" t="n"/>
      <c r="M84" s="37" t="n"/>
      <c r="N84" s="37" t="n"/>
      <c r="O84" s="37" t="n"/>
      <c r="P84" s="37" t="n"/>
      <c r="Q84" s="37" t="n"/>
      <c r="R84" s="37" t="n"/>
      <c r="S84" s="20" t="n"/>
    </row>
    <row r="85" ht="54" customFormat="1" customHeight="1" s="21">
      <c r="A85" s="38" t="n"/>
      <c r="B85" s="163" t="n"/>
      <c r="C85" s="163" t="n"/>
      <c r="D85" s="163" t="n"/>
      <c r="E85" s="163" t="n"/>
      <c r="F85" s="163" t="n"/>
      <c r="G85" s="36" t="n"/>
      <c r="H85" s="37" t="n"/>
      <c r="I85" s="37" t="n"/>
      <c r="J85" s="37" t="n"/>
      <c r="K85" s="37" t="n"/>
      <c r="L85" s="20" t="n"/>
      <c r="M85" s="37" t="n"/>
      <c r="N85" s="37" t="n"/>
      <c r="O85" s="37" t="n"/>
      <c r="P85" s="37" t="n"/>
      <c r="Q85" s="37" t="n"/>
      <c r="R85" s="37" t="n"/>
      <c r="S85" s="20" t="n"/>
    </row>
    <row r="86" ht="25.15" customFormat="1" customHeight="1" s="21">
      <c r="A86" s="38" t="inlineStr">
        <is>
          <t>NAME:</t>
        </is>
      </c>
      <c r="B86" s="164" t="n"/>
      <c r="C86" s="21" t="n"/>
      <c r="D86" s="21" t="n"/>
      <c r="E86" s="21" t="n"/>
      <c r="F86" s="654" t="n"/>
      <c r="G86" s="38" t="inlineStr">
        <is>
          <t>NAME:</t>
        </is>
      </c>
      <c r="H86" s="37" t="n"/>
      <c r="I86" s="37" t="n"/>
      <c r="J86" s="37" t="n"/>
      <c r="K86" s="37" t="n"/>
      <c r="L86" s="20" t="n"/>
      <c r="M86" s="38" t="inlineStr">
        <is>
          <t>NAME:</t>
        </is>
      </c>
      <c r="N86" s="37" t="n"/>
      <c r="O86" s="37" t="n"/>
      <c r="P86" s="37" t="n"/>
      <c r="Q86" s="37" t="n"/>
      <c r="R86" s="37" t="n"/>
      <c r="S86" s="20" t="n"/>
    </row>
    <row r="87" ht="27" customFormat="1" customHeight="1" s="21">
      <c r="A87" s="38" t="inlineStr">
        <is>
          <t>DATE:</t>
        </is>
      </c>
      <c r="B87" s="653">
        <f>TODAY()</f>
        <v/>
      </c>
      <c r="C87" s="21" t="n"/>
      <c r="D87" s="21" t="n"/>
      <c r="E87" s="21" t="n"/>
      <c r="F87" s="654" t="n"/>
      <c r="G87" s="38" t="inlineStr">
        <is>
          <t>DATE:</t>
        </is>
      </c>
      <c r="H87" s="37" t="n"/>
      <c r="I87" s="37" t="n"/>
      <c r="J87" s="37" t="n"/>
      <c r="K87" s="37" t="n"/>
      <c r="L87" s="20" t="n"/>
      <c r="M87" s="38" t="inlineStr">
        <is>
          <t>DATE:</t>
        </is>
      </c>
      <c r="N87" s="37" t="n"/>
      <c r="O87" s="37" t="n"/>
      <c r="P87" s="37" t="n"/>
      <c r="Q87" s="37" t="n"/>
      <c r="R87" s="37" t="n"/>
      <c r="S87" s="20" t="n"/>
    </row>
    <row r="88" ht="12" customFormat="1" customHeight="1" s="21" thickBot="1">
      <c r="A88" s="40" t="n"/>
      <c r="B88" s="41" t="n"/>
      <c r="C88" s="41" t="n"/>
      <c r="D88" s="41" t="n"/>
      <c r="E88" s="41" t="n"/>
      <c r="F88" s="41" t="n"/>
      <c r="G88" s="42" t="n"/>
      <c r="H88" s="24" t="n"/>
      <c r="I88" s="24" t="n"/>
      <c r="J88" s="24" t="n"/>
      <c r="K88" s="24" t="n"/>
      <c r="L88" s="25" t="n"/>
      <c r="M88" s="24" t="n"/>
      <c r="N88" s="24" t="n"/>
      <c r="O88" s="24" t="n"/>
      <c r="P88" s="24" t="n"/>
      <c r="Q88" s="24" t="n"/>
      <c r="R88" s="24" t="n"/>
      <c r="S88" s="25" t="n"/>
    </row>
  </sheetData>
  <mergeCells count="211">
    <mergeCell ref="I30:M30"/>
    <mergeCell ref="A48:E48"/>
    <mergeCell ref="A23:S23"/>
    <mergeCell ref="F33:H33"/>
    <mergeCell ref="F45:H45"/>
    <mergeCell ref="D19:H19"/>
    <mergeCell ref="I46:M46"/>
    <mergeCell ref="N58:S58"/>
    <mergeCell ref="A45:E45"/>
    <mergeCell ref="A21:C21"/>
    <mergeCell ref="K38:N38"/>
    <mergeCell ref="O36:S36"/>
    <mergeCell ref="K65:N65"/>
    <mergeCell ref="F47:H47"/>
    <mergeCell ref="M19:S19"/>
    <mergeCell ref="G40:J40"/>
    <mergeCell ref="K62:N62"/>
    <mergeCell ref="B70:R70"/>
    <mergeCell ref="F31:H31"/>
    <mergeCell ref="N57:S57"/>
    <mergeCell ref="I54:M54"/>
    <mergeCell ref="I32:M32"/>
    <mergeCell ref="O65:S65"/>
    <mergeCell ref="A46:E46"/>
    <mergeCell ref="N34:S34"/>
    <mergeCell ref="I56:M56"/>
    <mergeCell ref="A26:E26"/>
    <mergeCell ref="I43:M43"/>
    <mergeCell ref="A57:E57"/>
    <mergeCell ref="N49:S49"/>
    <mergeCell ref="N27:S27"/>
    <mergeCell ref="I24:M24"/>
    <mergeCell ref="I16:L16"/>
    <mergeCell ref="I33:M33"/>
    <mergeCell ref="O62:S62"/>
    <mergeCell ref="G66:J66"/>
    <mergeCell ref="A43:E43"/>
    <mergeCell ref="I18:L18"/>
    <mergeCell ref="A52:E52"/>
    <mergeCell ref="I50:M50"/>
    <mergeCell ref="M21:S21"/>
    <mergeCell ref="R18:S18"/>
    <mergeCell ref="I59:M59"/>
    <mergeCell ref="I60:M60"/>
    <mergeCell ref="F51:H51"/>
    <mergeCell ref="A41:F41"/>
    <mergeCell ref="N46:S46"/>
    <mergeCell ref="A34:E34"/>
    <mergeCell ref="I34:M34"/>
    <mergeCell ref="K39:N39"/>
    <mergeCell ref="B75:R75"/>
    <mergeCell ref="A49:E49"/>
    <mergeCell ref="I20:L20"/>
    <mergeCell ref="F50:H50"/>
    <mergeCell ref="N48:S48"/>
    <mergeCell ref="I45:M45"/>
    <mergeCell ref="D15:S15"/>
    <mergeCell ref="K37:N37"/>
    <mergeCell ref="O39:S39"/>
    <mergeCell ref="E22:H22"/>
    <mergeCell ref="I47:M47"/>
    <mergeCell ref="F27:H27"/>
    <mergeCell ref="I28:M28"/>
    <mergeCell ref="A62:F62"/>
    <mergeCell ref="D17:H17"/>
    <mergeCell ref="N24:S24"/>
    <mergeCell ref="A55:E55"/>
    <mergeCell ref="K64:N64"/>
    <mergeCell ref="F49:H49"/>
    <mergeCell ref="A80:F81"/>
    <mergeCell ref="G38:J38"/>
    <mergeCell ref="A32:E32"/>
    <mergeCell ref="N26:S26"/>
    <mergeCell ref="A15:C15"/>
    <mergeCell ref="F29:H29"/>
    <mergeCell ref="K63:N63"/>
    <mergeCell ref="F25:H25"/>
    <mergeCell ref="G62:J62"/>
    <mergeCell ref="A29:E29"/>
    <mergeCell ref="N25:S25"/>
    <mergeCell ref="I51:M51"/>
    <mergeCell ref="G80:L81"/>
    <mergeCell ref="N51:S51"/>
    <mergeCell ref="O38:S38"/>
    <mergeCell ref="A31:E31"/>
    <mergeCell ref="N53:S53"/>
    <mergeCell ref="A58:E58"/>
    <mergeCell ref="F59:H59"/>
    <mergeCell ref="F55:H55"/>
    <mergeCell ref="A16:C16"/>
    <mergeCell ref="F24:H24"/>
    <mergeCell ref="G65:J65"/>
    <mergeCell ref="A42:S42"/>
    <mergeCell ref="J22:M22"/>
    <mergeCell ref="I17:L17"/>
    <mergeCell ref="A24:E24"/>
    <mergeCell ref="A60:E60"/>
    <mergeCell ref="F32:H32"/>
    <mergeCell ref="A18:C18"/>
    <mergeCell ref="F26:H26"/>
    <mergeCell ref="N52:S52"/>
    <mergeCell ref="I49:M49"/>
    <mergeCell ref="I27:M27"/>
    <mergeCell ref="I19:L19"/>
    <mergeCell ref="D21:H21"/>
    <mergeCell ref="B39:F39"/>
    <mergeCell ref="N29:S29"/>
    <mergeCell ref="I25:M25"/>
    <mergeCell ref="A25:E25"/>
    <mergeCell ref="B77:R77"/>
    <mergeCell ref="D1:S12"/>
    <mergeCell ref="A22:C22"/>
    <mergeCell ref="O63:S63"/>
    <mergeCell ref="F43:H43"/>
    <mergeCell ref="F58:H58"/>
    <mergeCell ref="F52:H52"/>
    <mergeCell ref="N31:S31"/>
    <mergeCell ref="I53:M53"/>
    <mergeCell ref="A20:C20"/>
    <mergeCell ref="A63:F63"/>
    <mergeCell ref="P17:Q17"/>
    <mergeCell ref="A50:E50"/>
    <mergeCell ref="B87:F87"/>
    <mergeCell ref="D16:H16"/>
    <mergeCell ref="F60:H60"/>
    <mergeCell ref="G39:J39"/>
    <mergeCell ref="G67:S67"/>
    <mergeCell ref="A61:S61"/>
    <mergeCell ref="F57:H57"/>
    <mergeCell ref="I55:M55"/>
    <mergeCell ref="B69:R69"/>
    <mergeCell ref="A47:E47"/>
    <mergeCell ref="B78:R78"/>
    <mergeCell ref="A13:S14"/>
    <mergeCell ref="I52:M52"/>
    <mergeCell ref="M20:S20"/>
    <mergeCell ref="R17:S17"/>
    <mergeCell ref="F44:H44"/>
    <mergeCell ref="F53:H53"/>
    <mergeCell ref="D18:H18"/>
    <mergeCell ref="G37:J37"/>
    <mergeCell ref="I48:M48"/>
    <mergeCell ref="F34:H34"/>
    <mergeCell ref="B65:F65"/>
    <mergeCell ref="N54:S54"/>
    <mergeCell ref="O64:S64"/>
    <mergeCell ref="N32:S32"/>
    <mergeCell ref="K40:N40"/>
    <mergeCell ref="I29:M29"/>
    <mergeCell ref="A36:F36"/>
    <mergeCell ref="O22:R22"/>
    <mergeCell ref="I21:L21"/>
    <mergeCell ref="A28:E28"/>
    <mergeCell ref="N50:S50"/>
    <mergeCell ref="F30:H30"/>
    <mergeCell ref="A44:E44"/>
    <mergeCell ref="N56:S56"/>
    <mergeCell ref="I31:M31"/>
    <mergeCell ref="O37:S37"/>
    <mergeCell ref="N43:S43"/>
    <mergeCell ref="A30:E30"/>
    <mergeCell ref="A59:E59"/>
    <mergeCell ref="D20:H20"/>
    <mergeCell ref="G64:J64"/>
    <mergeCell ref="N33:S33"/>
    <mergeCell ref="A37:F37"/>
    <mergeCell ref="A51:E51"/>
    <mergeCell ref="B66:F66"/>
    <mergeCell ref="A35:S35"/>
    <mergeCell ref="G63:J63"/>
    <mergeCell ref="I26:M26"/>
    <mergeCell ref="G41:S41"/>
    <mergeCell ref="I57:M57"/>
    <mergeCell ref="N44:S44"/>
    <mergeCell ref="A68:S68"/>
    <mergeCell ref="F46:H46"/>
    <mergeCell ref="B71:R71"/>
    <mergeCell ref="F28:H28"/>
    <mergeCell ref="K66:N66"/>
    <mergeCell ref="A54:E54"/>
    <mergeCell ref="B86:F86"/>
    <mergeCell ref="M80:S81"/>
    <mergeCell ref="N28:S28"/>
    <mergeCell ref="N59:S59"/>
    <mergeCell ref="A17:C17"/>
    <mergeCell ref="F56:H56"/>
    <mergeCell ref="N60:S60"/>
    <mergeCell ref="F48:H48"/>
    <mergeCell ref="A56:E56"/>
    <mergeCell ref="A27:E27"/>
    <mergeCell ref="G36:J36"/>
    <mergeCell ref="I58:M58"/>
    <mergeCell ref="N30:S30"/>
    <mergeCell ref="A19:C19"/>
    <mergeCell ref="K36:N36"/>
    <mergeCell ref="B38:F38"/>
    <mergeCell ref="N45:S45"/>
    <mergeCell ref="A33:E33"/>
    <mergeCell ref="A67:F67"/>
    <mergeCell ref="O40:S40"/>
    <mergeCell ref="N55:S55"/>
    <mergeCell ref="B40:F40"/>
    <mergeCell ref="P18:Q18"/>
    <mergeCell ref="A53:E53"/>
    <mergeCell ref="N47:S47"/>
    <mergeCell ref="F54:H54"/>
    <mergeCell ref="I44:M44"/>
    <mergeCell ref="A1:C12"/>
    <mergeCell ref="B64:F64"/>
    <mergeCell ref="M16:S16"/>
    <mergeCell ref="O66:S66"/>
  </mergeCells>
  <dataValidations disablePrompts="1" count="9">
    <dataValidation sqref="G62:J62" showDropDown="0" showInputMessage="1" showErrorMessage="1" allowBlank="1" type="list">
      <formula1>"HYDROTEST, LEAK TEST, GRAVITY TEST, OTHER"</formula1>
    </dataValidation>
    <dataValidation sqref="O62:S62" showDropDown="0" showInputMessage="1" showErrorMessage="1" allowBlank="1" type="list">
      <formula1>"WATER, NITROGEN, AIR, OTHER"</formula1>
    </dataValidation>
    <dataValidation sqref="O64:S66" showDropDown="0" showInputMessage="1" showErrorMessage="1" allowBlank="1" type="list">
      <formula1>"NO LEAK &amp; ACCEPTED, LEAKED, MINOR LEAKED &amp; ACCEPTED"</formula1>
    </dataValidation>
    <dataValidation sqref="G41:S41 G67:S67" showDropDown="0" showInputMessage="1" showErrorMessage="1" allowBlank="1" type="list">
      <formula1>"API 2000, CLIENT REQUEEST PRESSURE, API 598"</formula1>
    </dataValidation>
    <dataValidation sqref="N79:R79 S69:S79" showDropDown="0" showInputMessage="1" showErrorMessage="1" allowBlank="1" type="list">
      <formula1>"REUSEABLE, NO SPARE KIT - REUSEABLE, BADLY DAMAGED, NEED TO REPLACED, NO SPARE KIT"</formula1>
    </dataValidation>
    <dataValidation sqref="I79:M79" showDropDown="0" showInputMessage="1" showErrorMessage="1" allowBlank="1" type="list">
      <formula1>"SAND DOWN &amp; CLEANING , CLEANING , TO REPLACE NEW, TO MACHINED, TO LAPPED, TO BUILD UP &amp; MACHINE, NOT APPLICABLE"</formula1>
    </dataValidation>
    <dataValidation sqref="F79:H79" showDropDown="0" showInputMessage="1" showErrorMessage="1" allowBlank="1" type="list">
      <formula1>"MISSING, LOOSED, OK, WORN OUT, MINOR SCRATCH, MAJOR SCRATCH, NOT AVAILABLE, NOT VISSIBLE , DIRTY, CORRODED, NOT APPLICABLE, IN PLACED"</formula1>
    </dataValidation>
    <dataValidation sqref="I22 N22 S22" showDropDown="0" showInputMessage="1" showErrorMessage="1" allowBlank="1" type="list">
      <formula1>"X,0"</formula1>
    </dataValidation>
    <dataValidation sqref="D22" showDropDown="0" showInputMessage="1" showErrorMessage="1" allowBlank="0" type="list">
      <formula1>"X,0"</formula1>
    </dataValidation>
  </dataValidations>
  <pageMargins left="0.7" right="0.7" top="0.75" bottom="0.75" header="0.3" footer="0.3"/>
  <pageSetup orientation="portrait" paperSize="9" scale="37" fitToHeight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52"/>
  <sheetViews>
    <sheetView view="pageBreakPreview" zoomScale="85" zoomScaleNormal="85" zoomScaleSheetLayoutView="85" workbookViewId="0">
      <selection activeCell="B27" sqref="B27:J28"/>
    </sheetView>
  </sheetViews>
  <sheetFormatPr baseColWidth="8" defaultRowHeight="15.75"/>
  <cols>
    <col width="9.875" customWidth="1" min="1" max="1"/>
    <col width="11.875" customWidth="1" min="2" max="2"/>
    <col width="10.25" customWidth="1" min="4" max="4"/>
    <col width="9.5" customWidth="1" min="6" max="6"/>
    <col width="6.375" customWidth="1" min="10" max="10"/>
    <col width="10.75" customWidth="1" min="11" max="11"/>
    <col width="7.25" customWidth="1" min="14" max="14"/>
    <col width="6.75" customWidth="1" min="17" max="17"/>
  </cols>
  <sheetData>
    <row r="1">
      <c r="A1" s="453" t="n"/>
      <c r="B1" s="742" t="n"/>
      <c r="C1" s="457" t="inlineStr">
        <is>
          <t>XX TURNAROUND XX</t>
        </is>
      </c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742" t="n"/>
      <c r="R1" s="148" t="n">
        <v>8</v>
      </c>
    </row>
    <row r="2" ht="36" customHeight="1">
      <c r="A2" s="127" t="n"/>
      <c r="B2" s="743" t="n"/>
      <c r="C2" s="744" t="n"/>
      <c r="D2" s="624" t="n"/>
      <c r="E2" s="624" t="n"/>
      <c r="F2" s="624" t="n"/>
      <c r="G2" s="624" t="n"/>
      <c r="H2" s="624" t="n"/>
      <c r="I2" s="624" t="n"/>
      <c r="J2" s="624" t="n"/>
      <c r="K2" s="624" t="n"/>
      <c r="L2" s="624" t="n"/>
      <c r="M2" s="624" t="n"/>
      <c r="N2" s="624" t="n"/>
      <c r="O2" s="624" t="n"/>
      <c r="P2" s="624" t="n"/>
      <c r="Q2" s="625" t="n"/>
    </row>
    <row r="3">
      <c r="A3" s="127" t="n"/>
      <c r="B3" s="743" t="n"/>
      <c r="C3" s="459" t="inlineStr">
        <is>
          <t>Checklist for QC-MST-Valve Repacking</t>
        </is>
      </c>
      <c r="D3" s="745" t="n"/>
      <c r="E3" s="745" t="n"/>
      <c r="F3" s="745" t="n"/>
      <c r="G3" s="745" t="n"/>
      <c r="H3" s="745" t="n"/>
      <c r="I3" s="745" t="n"/>
      <c r="J3" s="745" t="n"/>
      <c r="K3" s="745" t="n"/>
      <c r="L3" s="745" t="n"/>
      <c r="M3" s="745" t="n"/>
      <c r="N3" s="745" t="n"/>
      <c r="O3" s="745" t="n"/>
      <c r="P3" s="745" t="n"/>
      <c r="Q3" s="746" t="n"/>
    </row>
    <row r="4" ht="42.6" customHeight="1">
      <c r="A4" s="747" t="n"/>
      <c r="B4" s="625" t="n"/>
      <c r="C4" s="744" t="n"/>
      <c r="D4" s="624" t="n"/>
      <c r="E4" s="624" t="n"/>
      <c r="F4" s="624" t="n"/>
      <c r="G4" s="624" t="n"/>
      <c r="H4" s="624" t="n"/>
      <c r="I4" s="624" t="n"/>
      <c r="J4" s="624" t="n"/>
      <c r="K4" s="624" t="n"/>
      <c r="L4" s="624" t="n"/>
      <c r="M4" s="624" t="n"/>
      <c r="N4" s="624" t="n"/>
      <c r="O4" s="624" t="n"/>
      <c r="P4" s="624" t="n"/>
      <c r="Q4" s="625" t="n"/>
    </row>
    <row r="5" ht="30.6" customHeight="1">
      <c r="A5" s="461" t="n"/>
      <c r="B5" s="626" t="n"/>
      <c r="C5" s="626" t="n"/>
      <c r="D5" s="626" t="n"/>
      <c r="E5" s="626" t="n"/>
      <c r="F5" s="626" t="n"/>
      <c r="G5" s="626" t="n"/>
      <c r="H5" s="626" t="n"/>
      <c r="I5" s="626" t="n"/>
      <c r="J5" s="626" t="n"/>
      <c r="K5" s="626" t="n"/>
      <c r="L5" s="626" t="n"/>
      <c r="M5" s="626" t="n"/>
      <c r="N5" s="626" t="n"/>
      <c r="O5" s="626" t="n"/>
      <c r="P5" s="626" t="n"/>
      <c r="Q5" s="627" t="n"/>
    </row>
    <row r="6">
      <c r="A6" s="464" t="inlineStr">
        <is>
          <t>Equipment Tag No.</t>
        </is>
      </c>
      <c r="B6" s="746" t="n"/>
      <c r="C6" s="467">
        <f>VLOOKUP(R1,Summary!A1:AH376,9,0)</f>
        <v/>
      </c>
      <c r="D6" s="746" t="n"/>
      <c r="E6" s="468" t="inlineStr">
        <is>
          <t>Work ID</t>
        </is>
      </c>
      <c r="F6" s="746" t="n"/>
      <c r="G6" s="467">
        <f>VLOOKUP(R1,Summary!A1:AH376,2,0)</f>
        <v/>
      </c>
      <c r="H6" s="745" t="n"/>
      <c r="I6" s="746" t="n"/>
      <c r="J6" s="468" t="inlineStr">
        <is>
          <t>Contractor</t>
        </is>
      </c>
      <c r="K6" s="746" t="n"/>
      <c r="L6" s="467" t="inlineStr">
        <is>
          <t>LENOG SDN BHD</t>
        </is>
      </c>
      <c r="M6" s="745" t="n"/>
      <c r="N6" s="746" t="n"/>
      <c r="O6" s="468" t="inlineStr">
        <is>
          <t>Date</t>
        </is>
      </c>
      <c r="P6" s="470">
        <f>TODAY()</f>
        <v/>
      </c>
      <c r="Q6" s="746" t="n"/>
    </row>
    <row r="7" ht="36.6" customHeight="1">
      <c r="A7" s="747" t="n"/>
      <c r="B7" s="625" t="n"/>
      <c r="C7" s="744" t="n"/>
      <c r="D7" s="625" t="n"/>
      <c r="E7" s="744" t="n"/>
      <c r="F7" s="625" t="n"/>
      <c r="G7" s="744" t="n"/>
      <c r="H7" s="624" t="n"/>
      <c r="I7" s="625" t="n"/>
      <c r="J7" s="744" t="n"/>
      <c r="K7" s="625" t="n"/>
      <c r="L7" s="744" t="n"/>
      <c r="M7" s="624" t="n"/>
      <c r="N7" s="625" t="n"/>
      <c r="O7" s="748" t="n"/>
      <c r="P7" s="744" t="n"/>
      <c r="Q7" s="625" t="n"/>
    </row>
    <row r="8">
      <c r="A8" s="464" t="inlineStr">
        <is>
          <t>Work 
Description</t>
        </is>
      </c>
      <c r="B8" s="746" t="n"/>
      <c r="C8" s="475">
        <f>VLOOKUP(R1,Summary!A1:AH376,12,0)</f>
        <v/>
      </c>
      <c r="D8" s="745" t="n"/>
      <c r="E8" s="745" t="n"/>
      <c r="F8" s="745" t="n"/>
      <c r="G8" s="745" t="n"/>
      <c r="H8" s="745" t="n"/>
      <c r="I8" s="745" t="n"/>
      <c r="J8" s="745" t="n"/>
      <c r="K8" s="745" t="n"/>
      <c r="L8" s="745" t="n"/>
      <c r="M8" s="745" t="n"/>
      <c r="N8" s="745" t="n"/>
      <c r="O8" s="745" t="n"/>
      <c r="P8" s="745" t="n"/>
      <c r="Q8" s="746" t="n"/>
    </row>
    <row r="9" ht="47.45" customHeight="1">
      <c r="A9" s="747" t="n"/>
      <c r="B9" s="625" t="n"/>
      <c r="C9" s="744" t="n"/>
      <c r="D9" s="624" t="n"/>
      <c r="E9" s="624" t="n"/>
      <c r="F9" s="624" t="n"/>
      <c r="G9" s="624" t="n"/>
      <c r="H9" s="624" t="n"/>
      <c r="I9" s="624" t="n"/>
      <c r="J9" s="624" t="n"/>
      <c r="K9" s="624" t="n"/>
      <c r="L9" s="624" t="n"/>
      <c r="M9" s="624" t="n"/>
      <c r="N9" s="624" t="n"/>
      <c r="O9" s="624" t="n"/>
      <c r="P9" s="624" t="n"/>
      <c r="Q9" s="625" t="n"/>
    </row>
    <row r="10">
      <c r="A10" s="478" t="inlineStr">
        <is>
          <t>QUALITY CHECKS</t>
        </is>
      </c>
      <c r="B10" s="745" t="n"/>
      <c r="C10" s="745" t="n"/>
      <c r="D10" s="745" t="n"/>
      <c r="E10" s="745" t="n"/>
      <c r="F10" s="745" t="n"/>
      <c r="G10" s="745" t="n"/>
      <c r="H10" s="745" t="n"/>
      <c r="I10" s="745" t="n"/>
      <c r="J10" s="745" t="n"/>
      <c r="K10" s="745" t="n"/>
      <c r="L10" s="745" t="n"/>
      <c r="M10" s="745" t="n"/>
      <c r="N10" s="745" t="n"/>
      <c r="O10" s="745" t="n"/>
      <c r="P10" s="745" t="n"/>
      <c r="Q10" s="746" t="n"/>
    </row>
    <row r="11">
      <c r="A11" s="127" t="n"/>
      <c r="Q11" s="743" t="n"/>
    </row>
    <row r="12" ht="25.15" customHeight="1">
      <c r="A12" s="747" t="n"/>
      <c r="B12" s="624" t="n"/>
      <c r="C12" s="624" t="n"/>
      <c r="D12" s="624" t="n"/>
      <c r="E12" s="624" t="n"/>
      <c r="F12" s="624" t="n"/>
      <c r="G12" s="624" t="n"/>
      <c r="H12" s="624" t="n"/>
      <c r="I12" s="624" t="n"/>
      <c r="J12" s="624" t="n"/>
      <c r="K12" s="624" t="n"/>
      <c r="L12" s="624" t="n"/>
      <c r="M12" s="624" t="n"/>
      <c r="N12" s="624" t="n"/>
      <c r="O12" s="624" t="n"/>
      <c r="P12" s="624" t="n"/>
      <c r="Q12" s="625" t="n"/>
    </row>
    <row r="13">
      <c r="A13" s="472" t="inlineStr">
        <is>
          <t>No.</t>
        </is>
      </c>
      <c r="B13" s="473" t="inlineStr">
        <is>
          <t>Action</t>
        </is>
      </c>
      <c r="C13" s="745" t="n"/>
      <c r="D13" s="745" t="n"/>
      <c r="E13" s="745" t="n"/>
      <c r="F13" s="745" t="n"/>
      <c r="G13" s="745" t="n"/>
      <c r="H13" s="745" t="n"/>
      <c r="I13" s="745" t="n"/>
      <c r="J13" s="746" t="n"/>
      <c r="K13" s="473" t="inlineStr">
        <is>
          <t>Accepted</t>
        </is>
      </c>
      <c r="L13" s="746" t="n"/>
      <c r="M13" s="473" t="inlineStr">
        <is>
          <t>NA</t>
        </is>
      </c>
      <c r="N13" s="473" t="inlineStr">
        <is>
          <t>Remarks</t>
        </is>
      </c>
      <c r="O13" s="745" t="n"/>
      <c r="P13" s="745" t="n"/>
      <c r="Q13" s="746" t="n"/>
    </row>
    <row r="14" ht="24" customHeight="1">
      <c r="A14" s="749" t="n"/>
      <c r="B14" s="744" t="n"/>
      <c r="C14" s="624" t="n"/>
      <c r="D14" s="624" t="n"/>
      <c r="E14" s="624" t="n"/>
      <c r="F14" s="624" t="n"/>
      <c r="G14" s="624" t="n"/>
      <c r="H14" s="624" t="n"/>
      <c r="I14" s="624" t="n"/>
      <c r="J14" s="625" t="n"/>
      <c r="K14" s="744" t="n"/>
      <c r="L14" s="625" t="n"/>
      <c r="M14" s="748" t="n"/>
      <c r="N14" s="744" t="n"/>
      <c r="O14" s="624" t="n"/>
      <c r="P14" s="624" t="n"/>
      <c r="Q14" s="625" t="n"/>
    </row>
    <row r="15" ht="18" customHeight="1">
      <c r="A15" s="482" t="n">
        <v>1</v>
      </c>
      <c r="B15" s="484" t="inlineStr">
        <is>
          <t>Packing of gland</t>
        </is>
      </c>
      <c r="C15" s="745" t="n"/>
      <c r="D15" s="745" t="n"/>
      <c r="E15" s="745" t="n"/>
      <c r="F15" s="745" t="n"/>
      <c r="G15" s="745" t="n"/>
      <c r="H15" s="745" t="n"/>
      <c r="I15" s="745" t="n"/>
      <c r="J15" s="746" t="n"/>
      <c r="K15" s="485" t="n"/>
      <c r="L15" s="746" t="n"/>
      <c r="M15" s="456" t="n"/>
      <c r="N15" s="456" t="n"/>
      <c r="O15" s="745" t="n"/>
      <c r="P15" s="745" t="n"/>
      <c r="Q15" s="746" t="n"/>
    </row>
    <row r="16" ht="18" customHeight="1">
      <c r="A16" s="750" t="n"/>
      <c r="B16" s="744" t="n"/>
      <c r="C16" s="624" t="n"/>
      <c r="D16" s="624" t="n"/>
      <c r="E16" s="624" t="n"/>
      <c r="F16" s="624" t="n"/>
      <c r="G16" s="624" t="n"/>
      <c r="H16" s="624" t="n"/>
      <c r="I16" s="624" t="n"/>
      <c r="J16" s="625" t="n"/>
      <c r="K16" s="744" t="n"/>
      <c r="L16" s="625" t="n"/>
      <c r="M16" s="748" t="n"/>
      <c r="N16" s="744" t="n"/>
      <c r="O16" s="624" t="n"/>
      <c r="P16" s="624" t="n"/>
      <c r="Q16" s="625" t="n"/>
    </row>
    <row r="17" ht="18" customHeight="1">
      <c r="A17" s="750" t="n"/>
      <c r="B17" s="487" t="inlineStr">
        <is>
          <t>a) Ensure size, material of packing is correct per specification/datasheet</t>
        </is>
      </c>
      <c r="C17" s="745" t="n"/>
      <c r="D17" s="745" t="n"/>
      <c r="E17" s="745" t="n"/>
      <c r="F17" s="745" t="n"/>
      <c r="G17" s="745" t="n"/>
      <c r="H17" s="745" t="n"/>
      <c r="I17" s="745" t="n"/>
      <c r="J17" s="746" t="n"/>
      <c r="K17" s="489" t="n"/>
      <c r="L17" s="746" t="n"/>
      <c r="M17" s="456" t="n"/>
      <c r="N17" s="456" t="n"/>
      <c r="O17" s="745" t="n"/>
      <c r="P17" s="745" t="n"/>
      <c r="Q17" s="746" t="n"/>
    </row>
    <row r="18" ht="18" customHeight="1">
      <c r="A18" s="750" t="n"/>
      <c r="B18" s="744" t="n"/>
      <c r="C18" s="624" t="n"/>
      <c r="D18" s="624" t="n"/>
      <c r="E18" s="624" t="n"/>
      <c r="F18" s="624" t="n"/>
      <c r="G18" s="624" t="n"/>
      <c r="H18" s="624" t="n"/>
      <c r="I18" s="624" t="n"/>
      <c r="J18" s="625" t="n"/>
      <c r="K18" s="744" t="n"/>
      <c r="L18" s="625" t="n"/>
      <c r="M18" s="748" t="n"/>
      <c r="N18" s="744" t="n"/>
      <c r="O18" s="624" t="n"/>
      <c r="P18" s="624" t="n"/>
      <c r="Q18" s="625" t="n"/>
    </row>
    <row r="19" ht="18" customHeight="1">
      <c r="A19" s="750" t="n"/>
      <c r="B19" s="487" t="inlineStr">
        <is>
          <t>b) Visually inspect stem &amp; stuffing box condition and free from defect</t>
        </is>
      </c>
      <c r="C19" s="745" t="n"/>
      <c r="D19" s="745" t="n"/>
      <c r="E19" s="745" t="n"/>
      <c r="F19" s="745" t="n"/>
      <c r="G19" s="745" t="n"/>
      <c r="H19" s="745" t="n"/>
      <c r="I19" s="745" t="n"/>
      <c r="J19" s="746" t="n"/>
      <c r="K19" s="489" t="n"/>
      <c r="L19" s="746" t="n"/>
      <c r="M19" s="456" t="n"/>
      <c r="N19" s="456" t="n"/>
      <c r="O19" s="745" t="n"/>
      <c r="P19" s="745" t="n"/>
      <c r="Q19" s="746" t="n"/>
    </row>
    <row r="20" ht="18" customHeight="1">
      <c r="A20" s="750" t="n"/>
      <c r="B20" s="744" t="n"/>
      <c r="C20" s="624" t="n"/>
      <c r="D20" s="624" t="n"/>
      <c r="E20" s="624" t="n"/>
      <c r="F20" s="624" t="n"/>
      <c r="G20" s="624" t="n"/>
      <c r="H20" s="624" t="n"/>
      <c r="I20" s="624" t="n"/>
      <c r="J20" s="625" t="n"/>
      <c r="K20" s="744" t="n"/>
      <c r="L20" s="625" t="n"/>
      <c r="M20" s="748" t="n"/>
      <c r="N20" s="744" t="n"/>
      <c r="O20" s="624" t="n"/>
      <c r="P20" s="624" t="n"/>
      <c r="Q20" s="625" t="n"/>
    </row>
    <row r="21" ht="18" customHeight="1">
      <c r="A21" s="750" t="n"/>
      <c r="B21" s="487" t="inlineStr">
        <is>
          <t>c) Measure existing gland nut (ensure number of thread similar before and after)</t>
        </is>
      </c>
      <c r="C21" s="745" t="n"/>
      <c r="D21" s="745" t="n"/>
      <c r="E21" s="745" t="n"/>
      <c r="F21" s="745" t="n"/>
      <c r="G21" s="745" t="n"/>
      <c r="H21" s="745" t="n"/>
      <c r="I21" s="745" t="n"/>
      <c r="J21" s="746" t="n"/>
      <c r="K21" s="490" t="n"/>
      <c r="L21" s="746" t="n"/>
      <c r="M21" s="456" t="n"/>
      <c r="N21" s="456" t="n"/>
      <c r="O21" s="745" t="n"/>
      <c r="P21" s="745" t="n"/>
      <c r="Q21" s="746" t="n"/>
    </row>
    <row r="22" ht="18" customHeight="1">
      <c r="A22" s="750" t="n"/>
      <c r="B22" s="744" t="n"/>
      <c r="C22" s="624" t="n"/>
      <c r="D22" s="624" t="n"/>
      <c r="E22" s="624" t="n"/>
      <c r="F22" s="624" t="n"/>
      <c r="G22" s="624" t="n"/>
      <c r="H22" s="624" t="n"/>
      <c r="I22" s="624" t="n"/>
      <c r="J22" s="625" t="n"/>
      <c r="K22" s="744" t="n"/>
      <c r="L22" s="625" t="n"/>
      <c r="M22" s="748" t="n"/>
      <c r="N22" s="744" t="n"/>
      <c r="O22" s="624" t="n"/>
      <c r="P22" s="624" t="n"/>
      <c r="Q22" s="625" t="n"/>
    </row>
    <row r="23" ht="18" customHeight="1">
      <c r="A23" s="750" t="n"/>
      <c r="B23" s="495" t="inlineStr">
        <is>
          <t>d) Cleanliness of the stuffing box accepted</t>
        </is>
      </c>
      <c r="C23" s="745" t="n"/>
      <c r="D23" s="745" t="n"/>
      <c r="E23" s="745" t="n"/>
      <c r="F23" s="745" t="n"/>
      <c r="G23" s="745" t="n"/>
      <c r="H23" s="745" t="n"/>
      <c r="I23" s="745" t="n"/>
      <c r="J23" s="746" t="n"/>
      <c r="K23" s="485" t="n"/>
      <c r="L23" s="746" t="n"/>
      <c r="M23" s="456" t="n"/>
      <c r="N23" s="456" t="n"/>
      <c r="O23" s="745" t="n"/>
      <c r="P23" s="745" t="n"/>
      <c r="Q23" s="746" t="n"/>
    </row>
    <row r="24" ht="18" customHeight="1">
      <c r="A24" s="750" t="n"/>
      <c r="B24" s="744" t="n"/>
      <c r="C24" s="624" t="n"/>
      <c r="D24" s="624" t="n"/>
      <c r="E24" s="624" t="n"/>
      <c r="F24" s="624" t="n"/>
      <c r="G24" s="624" t="n"/>
      <c r="H24" s="624" t="n"/>
      <c r="I24" s="624" t="n"/>
      <c r="J24" s="625" t="n"/>
      <c r="K24" s="744" t="n"/>
      <c r="L24" s="625" t="n"/>
      <c r="M24" s="748" t="n"/>
      <c r="N24" s="744" t="n"/>
      <c r="O24" s="624" t="n"/>
      <c r="P24" s="624" t="n"/>
      <c r="Q24" s="625" t="n"/>
    </row>
    <row r="25" ht="18" customHeight="1">
      <c r="A25" s="750" t="n"/>
      <c r="B25" s="495" t="inlineStr">
        <is>
          <t>e) Ensure adequacy of packing is correct</t>
        </is>
      </c>
      <c r="C25" s="745" t="n"/>
      <c r="D25" s="745" t="n"/>
      <c r="E25" s="745" t="n"/>
      <c r="F25" s="745" t="n"/>
      <c r="G25" s="745" t="n"/>
      <c r="H25" s="745" t="n"/>
      <c r="I25" s="745" t="n"/>
      <c r="J25" s="746" t="n"/>
      <c r="K25" s="485" t="n"/>
      <c r="L25" s="746" t="n"/>
      <c r="M25" s="456" t="n"/>
      <c r="N25" s="456" t="n"/>
      <c r="O25" s="745" t="n"/>
      <c r="P25" s="745" t="n"/>
      <c r="Q25" s="746" t="n"/>
    </row>
    <row r="26" ht="18" customHeight="1">
      <c r="A26" s="750" t="n"/>
      <c r="B26" s="744" t="n"/>
      <c r="C26" s="624" t="n"/>
      <c r="D26" s="624" t="n"/>
      <c r="E26" s="624" t="n"/>
      <c r="F26" s="624" t="n"/>
      <c r="G26" s="624" t="n"/>
      <c r="H26" s="624" t="n"/>
      <c r="I26" s="624" t="n"/>
      <c r="J26" s="625" t="n"/>
      <c r="K26" s="744" t="n"/>
      <c r="L26" s="625" t="n"/>
      <c r="M26" s="748" t="n"/>
      <c r="N26" s="744" t="n"/>
      <c r="O26" s="624" t="n"/>
      <c r="P26" s="624" t="n"/>
      <c r="Q26" s="625" t="n"/>
    </row>
    <row r="27" ht="18" customHeight="1">
      <c r="A27" s="750" t="n"/>
      <c r="B27" s="487" t="inlineStr">
        <is>
          <t>f) Tighten gland nut (ensure number of thread similar before and after)</t>
        </is>
      </c>
      <c r="C27" s="745" t="n"/>
      <c r="D27" s="745" t="n"/>
      <c r="E27" s="745" t="n"/>
      <c r="F27" s="745" t="n"/>
      <c r="G27" s="745" t="n"/>
      <c r="H27" s="745" t="n"/>
      <c r="I27" s="745" t="n"/>
      <c r="J27" s="746" t="n"/>
      <c r="K27" s="485" t="n"/>
      <c r="L27" s="746" t="n"/>
      <c r="M27" s="456" t="n"/>
      <c r="N27" s="456" t="n"/>
      <c r="O27" s="745" t="n"/>
      <c r="P27" s="745" t="n"/>
      <c r="Q27" s="746" t="n"/>
    </row>
    <row r="28" ht="18" customHeight="1" thickBot="1">
      <c r="A28" s="749" t="n"/>
      <c r="B28" s="744" t="n"/>
      <c r="C28" s="624" t="n"/>
      <c r="D28" s="624" t="n"/>
      <c r="E28" s="624" t="n"/>
      <c r="F28" s="624" t="n"/>
      <c r="G28" s="624" t="n"/>
      <c r="H28" s="624" t="n"/>
      <c r="I28" s="624" t="n"/>
      <c r="J28" s="625" t="n"/>
      <c r="K28" s="744" t="n"/>
      <c r="L28" s="625" t="n"/>
      <c r="M28" s="748" t="n"/>
      <c r="N28" s="744" t="n"/>
      <c r="O28" s="624" t="n"/>
      <c r="P28" s="624" t="n"/>
      <c r="Q28" s="625" t="n"/>
    </row>
    <row r="29" ht="15.6" customHeight="1">
      <c r="A29" s="104" t="inlineStr">
        <is>
          <t xml:space="preserve">
Checked by:
Name :____________________
Designation : QC Contractor
Date :____________________</t>
        </is>
      </c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3" t="inlineStr">
        <is>
          <t xml:space="preserve">
Accepted by:
Name :____________________
Designation : Area Engineer
Date :____________________</t>
        </is>
      </c>
      <c r="L29" s="105" t="n"/>
      <c r="M29" s="105" t="n"/>
      <c r="N29" s="105" t="n"/>
      <c r="O29" s="105" t="n"/>
      <c r="P29" s="105" t="n"/>
      <c r="Q29" s="105" t="n"/>
    </row>
    <row r="30">
      <c r="A30" s="103" t="n"/>
      <c r="B30" s="103" t="n"/>
      <c r="C30" s="103" t="n"/>
      <c r="D30" s="103" t="n"/>
      <c r="E30" s="103" t="n"/>
      <c r="F30" s="103" t="n"/>
      <c r="G30" s="103" t="n"/>
      <c r="H30" s="103" t="n"/>
      <c r="I30" s="103" t="n"/>
      <c r="J30" s="103" t="n"/>
      <c r="K30" s="105" t="n"/>
      <c r="L30" s="105" t="n"/>
      <c r="M30" s="105" t="n"/>
      <c r="N30" s="105" t="n"/>
      <c r="O30" s="105" t="n"/>
      <c r="P30" s="105" t="n"/>
      <c r="Q30" s="105" t="n"/>
    </row>
    <row r="31">
      <c r="A31" s="105" t="inlineStr">
        <is>
          <t>Checked by:</t>
        </is>
      </c>
      <c r="B31" s="103" t="n"/>
      <c r="C31" s="103" t="n"/>
      <c r="D31" s="103" t="n"/>
      <c r="E31" s="103" t="n"/>
      <c r="F31" s="103" t="n"/>
      <c r="G31" s="103" t="n"/>
      <c r="H31" s="103" t="n"/>
      <c r="I31" s="103" t="n"/>
      <c r="J31" s="105" t="inlineStr">
        <is>
          <t>Checked by:</t>
        </is>
      </c>
      <c r="K31" s="103" t="n"/>
      <c r="L31" s="103" t="n"/>
      <c r="M31" s="103" t="n"/>
      <c r="N31" s="105" t="n"/>
      <c r="O31" s="105" t="n"/>
      <c r="P31" s="105" t="n"/>
      <c r="Q31" s="105" t="n"/>
    </row>
    <row r="32">
      <c r="A32" s="103" t="n"/>
      <c r="B32" s="103" t="n"/>
      <c r="C32" s="103" t="n"/>
      <c r="D32" s="103" t="n"/>
      <c r="E32" s="103" t="n"/>
      <c r="F32" s="103" t="n"/>
      <c r="G32" s="103" t="n"/>
      <c r="H32" s="103" t="n"/>
      <c r="I32" s="103" t="n"/>
      <c r="J32" s="103" t="n"/>
      <c r="K32" s="103" t="n"/>
      <c r="L32" s="103" t="n"/>
      <c r="M32" s="103" t="n"/>
      <c r="N32" s="105" t="n"/>
      <c r="O32" s="105" t="n"/>
      <c r="P32" s="105" t="n"/>
      <c r="Q32" s="105" t="n"/>
    </row>
    <row r="33">
      <c r="A33" s="103" t="n"/>
      <c r="B33" s="103" t="n"/>
      <c r="C33" s="103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N33" s="105" t="n"/>
      <c r="O33" s="105" t="n"/>
      <c r="P33" s="105" t="n"/>
      <c r="Q33" s="105" t="n"/>
    </row>
    <row r="34">
      <c r="A34" s="103" t="n"/>
      <c r="B34" s="103" t="n"/>
      <c r="C34" s="103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5" t="n"/>
      <c r="O34" s="105" t="n"/>
      <c r="P34" s="105" t="n"/>
      <c r="Q34" s="105" t="n"/>
    </row>
    <row r="35">
      <c r="A35" s="103" t="inlineStr">
        <is>
          <t>Name:</t>
        </is>
      </c>
      <c r="B35" s="103" t="n"/>
      <c r="C35" s="103" t="n"/>
      <c r="D35" s="103" t="n"/>
      <c r="E35" s="103" t="n"/>
      <c r="F35" s="103" t="n"/>
      <c r="G35" s="103" t="n"/>
      <c r="H35" s="103" t="n"/>
      <c r="I35" s="103" t="n"/>
      <c r="J35" s="103" t="inlineStr">
        <is>
          <t>Name:</t>
        </is>
      </c>
      <c r="K35" s="103" t="n"/>
      <c r="L35" s="103" t="n"/>
      <c r="M35" s="103" t="n"/>
      <c r="N35" s="105" t="n"/>
      <c r="O35" s="105" t="n"/>
      <c r="P35" s="105" t="n"/>
      <c r="Q35" s="105" t="n"/>
    </row>
    <row r="36">
      <c r="A36" s="103" t="n"/>
      <c r="B36" s="103" t="n"/>
      <c r="C36" s="103" t="n"/>
      <c r="D36" s="103" t="n"/>
      <c r="E36" s="103" t="n"/>
      <c r="F36" s="103" t="n"/>
      <c r="G36" s="103" t="n"/>
      <c r="H36" s="103" t="n"/>
      <c r="I36" s="103" t="n"/>
      <c r="J36" s="103" t="n"/>
      <c r="K36" s="103" t="n"/>
      <c r="L36" s="103" t="n"/>
      <c r="M36" s="103" t="n"/>
      <c r="N36" s="105" t="n"/>
      <c r="O36" s="105" t="n"/>
      <c r="P36" s="105" t="n"/>
      <c r="Q36" s="105" t="n"/>
    </row>
    <row r="37">
      <c r="A37" s="105" t="inlineStr">
        <is>
          <t>Designation: QC Contractor</t>
        </is>
      </c>
      <c r="B37" s="103" t="n"/>
      <c r="C37" s="103" t="n"/>
      <c r="D37" s="105" t="n"/>
      <c r="E37" s="103" t="n"/>
      <c r="F37" s="103" t="n"/>
      <c r="G37" s="103" t="n"/>
      <c r="H37" s="103" t="n"/>
      <c r="I37" s="103" t="n"/>
      <c r="J37" s="105" t="inlineStr">
        <is>
          <t>Designation: Area Engineer</t>
        </is>
      </c>
      <c r="K37" s="103" t="n"/>
      <c r="L37" s="103" t="n"/>
      <c r="M37" s="105" t="n"/>
      <c r="N37" s="105" t="n"/>
      <c r="O37" s="105" t="n"/>
      <c r="P37" s="105" t="n"/>
      <c r="Q37" s="105" t="n"/>
    </row>
    <row r="38">
      <c r="A38" s="103" t="n"/>
      <c r="B38" s="103" t="n"/>
      <c r="C38" s="103" t="n"/>
      <c r="D38" s="103" t="n"/>
      <c r="E38" s="103" t="n"/>
      <c r="F38" s="103" t="n"/>
      <c r="G38" s="103" t="n"/>
      <c r="H38" s="103" t="n"/>
      <c r="I38" s="103" t="n"/>
      <c r="J38" s="103" t="n"/>
      <c r="K38" s="103" t="n"/>
      <c r="L38" s="103" t="n"/>
      <c r="M38" s="103" t="n"/>
      <c r="N38" s="105" t="n"/>
      <c r="O38" s="105" t="n"/>
      <c r="P38" s="105" t="n"/>
      <c r="Q38" s="105" t="n"/>
    </row>
    <row r="39">
      <c r="A39" s="103" t="inlineStr">
        <is>
          <t>Date:</t>
        </is>
      </c>
      <c r="B39" s="106" t="n"/>
      <c r="C39" s="103" t="n"/>
      <c r="D39" s="103" t="n"/>
      <c r="E39" s="103" t="n"/>
      <c r="F39" s="103" t="n"/>
      <c r="G39" s="103" t="n"/>
      <c r="H39" s="103" t="n"/>
      <c r="I39" s="103" t="n"/>
      <c r="J39" s="103" t="inlineStr">
        <is>
          <t>Date:</t>
        </is>
      </c>
      <c r="K39" s="106" t="n"/>
      <c r="L39" s="103" t="n"/>
      <c r="M39" s="103" t="n"/>
      <c r="N39" s="105" t="n"/>
      <c r="O39" s="105" t="n"/>
      <c r="P39" s="105" t="n"/>
      <c r="Q39" s="105" t="n"/>
    </row>
    <row r="40">
      <c r="A40" s="103" t="n"/>
      <c r="B40" s="103" t="n"/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5" t="n"/>
      <c r="L40" s="105" t="n"/>
      <c r="M40" s="105" t="n"/>
      <c r="N40" s="105" t="n"/>
      <c r="O40" s="105" t="n"/>
      <c r="P40" s="105" t="n"/>
      <c r="Q40" s="105" t="n"/>
    </row>
    <row r="41">
      <c r="A41" s="103" t="n"/>
      <c r="B41" s="103" t="n"/>
      <c r="C41" s="103" t="n"/>
      <c r="D41" s="103" t="n"/>
      <c r="E41" s="103" t="n"/>
      <c r="F41" s="103" t="n"/>
      <c r="G41" s="103" t="n"/>
      <c r="H41" s="103" t="n"/>
      <c r="I41" s="103" t="n"/>
      <c r="J41" s="103" t="n"/>
    </row>
    <row r="42">
      <c r="A42" s="103" t="n"/>
      <c r="B42" s="103" t="n"/>
      <c r="C42" s="103" t="n"/>
      <c r="D42" s="103" t="n"/>
      <c r="E42" s="103" t="n"/>
      <c r="F42" s="103" t="n"/>
      <c r="G42" s="103" t="n"/>
      <c r="H42" s="103" t="n"/>
      <c r="I42" s="103" t="n"/>
      <c r="J42" s="103" t="n"/>
    </row>
    <row r="43">
      <c r="A43" s="103" t="n"/>
      <c r="B43" s="103" t="n"/>
      <c r="C43" s="103" t="n"/>
      <c r="D43" s="103" t="n"/>
      <c r="E43" s="103" t="n"/>
      <c r="F43" s="103" t="n"/>
      <c r="G43" s="103" t="n"/>
      <c r="H43" s="103" t="n"/>
      <c r="I43" s="103" t="n"/>
      <c r="J43" s="103" t="n"/>
    </row>
    <row r="44">
      <c r="A44" s="103" t="n"/>
      <c r="B44" s="103" t="n"/>
      <c r="C44" s="103" t="n"/>
      <c r="D44" s="103" t="n"/>
      <c r="E44" s="103" t="n"/>
      <c r="F44" s="103" t="n"/>
      <c r="G44" s="103" t="n"/>
      <c r="H44" s="103" t="n"/>
      <c r="I44" s="103" t="n"/>
      <c r="J44" s="103" t="n"/>
    </row>
    <row r="45">
      <c r="A45" s="103" t="n"/>
      <c r="B45" s="103" t="n"/>
      <c r="C45" s="103" t="n"/>
      <c r="D45" s="103" t="n"/>
      <c r="E45" s="103" t="n"/>
      <c r="F45" s="103" t="n"/>
      <c r="G45" s="103" t="n"/>
      <c r="H45" s="103" t="n"/>
      <c r="I45" s="103" t="n"/>
      <c r="J45" s="103" t="n"/>
    </row>
    <row r="46">
      <c r="A46" s="103" t="n"/>
      <c r="B46" s="103" t="n"/>
      <c r="C46" s="103" t="n"/>
      <c r="D46" s="103" t="n"/>
      <c r="E46" s="103" t="n"/>
      <c r="F46" s="103" t="n"/>
      <c r="G46" s="103" t="n"/>
      <c r="H46" s="103" t="n"/>
      <c r="I46" s="103" t="n"/>
      <c r="J46" s="103" t="n"/>
    </row>
    <row r="47">
      <c r="A47" s="103" t="n"/>
      <c r="B47" s="103" t="n"/>
      <c r="C47" s="103" t="n"/>
      <c r="D47" s="103" t="n"/>
      <c r="E47" s="103" t="n"/>
      <c r="F47" s="103" t="n"/>
      <c r="G47" s="103" t="n"/>
      <c r="H47" s="103" t="n"/>
      <c r="I47" s="103" t="n"/>
      <c r="J47" s="103" t="n"/>
    </row>
    <row r="48">
      <c r="A48" s="103" t="n"/>
      <c r="B48" s="103" t="n"/>
      <c r="C48" s="103" t="n"/>
      <c r="D48" s="103" t="n"/>
      <c r="E48" s="103" t="n"/>
      <c r="F48" s="103" t="n"/>
      <c r="G48" s="103" t="n"/>
      <c r="H48" s="103" t="n"/>
      <c r="I48" s="103" t="n"/>
      <c r="J48" s="103" t="n"/>
    </row>
    <row r="49">
      <c r="A49" s="103" t="n"/>
      <c r="B49" s="103" t="n"/>
      <c r="C49" s="103" t="n"/>
      <c r="D49" s="103" t="n"/>
      <c r="E49" s="103" t="n"/>
      <c r="F49" s="103" t="n"/>
      <c r="G49" s="103" t="n"/>
      <c r="H49" s="103" t="n"/>
      <c r="I49" s="103" t="n"/>
      <c r="J49" s="103" t="n"/>
    </row>
    <row r="50">
      <c r="A50" s="103" t="n"/>
      <c r="B50" s="103" t="n"/>
      <c r="C50" s="103" t="n"/>
      <c r="D50" s="103" t="n"/>
      <c r="E50" s="103" t="n"/>
      <c r="F50" s="103" t="n"/>
      <c r="G50" s="103" t="n"/>
      <c r="H50" s="103" t="n"/>
      <c r="I50" s="103" t="n"/>
      <c r="J50" s="103" t="n"/>
    </row>
    <row r="51">
      <c r="A51" s="103" t="n"/>
      <c r="B51" s="103" t="n"/>
      <c r="C51" s="103" t="n"/>
      <c r="D51" s="103" t="n"/>
      <c r="E51" s="103" t="n"/>
      <c r="F51" s="103" t="n"/>
      <c r="G51" s="103" t="n"/>
      <c r="H51" s="103" t="n"/>
      <c r="I51" s="103" t="n"/>
      <c r="J51" s="103" t="n"/>
    </row>
    <row r="52">
      <c r="A52" s="103" t="n"/>
      <c r="B52" s="103" t="n"/>
      <c r="C52" s="103" t="n"/>
      <c r="D52" s="103" t="n"/>
      <c r="E52" s="103" t="n"/>
      <c r="F52" s="103" t="n"/>
      <c r="G52" s="103" t="n"/>
      <c r="H52" s="103" t="n"/>
      <c r="I52" s="103" t="n"/>
      <c r="J52" s="103" t="n"/>
    </row>
  </sheetData>
  <mergeCells count="49">
    <mergeCell ref="K27:L28"/>
    <mergeCell ref="E6:F7"/>
    <mergeCell ref="A10:Q12"/>
    <mergeCell ref="N25:Q26"/>
    <mergeCell ref="N21:Q22"/>
    <mergeCell ref="K23:L24"/>
    <mergeCell ref="A8:B9"/>
    <mergeCell ref="C3:Q4"/>
    <mergeCell ref="K17:L18"/>
    <mergeCell ref="K13:L14"/>
    <mergeCell ref="M15:M16"/>
    <mergeCell ref="B25:J26"/>
    <mergeCell ref="B21:J22"/>
    <mergeCell ref="M13:M14"/>
    <mergeCell ref="M25:M26"/>
    <mergeCell ref="N17:Q18"/>
    <mergeCell ref="A15:A28"/>
    <mergeCell ref="B27:J28"/>
    <mergeCell ref="K19:L20"/>
    <mergeCell ref="M27:M28"/>
    <mergeCell ref="N23:Q24"/>
    <mergeCell ref="B17:J18"/>
    <mergeCell ref="N19:Q20"/>
    <mergeCell ref="K25:L26"/>
    <mergeCell ref="M21:M22"/>
    <mergeCell ref="C1:Q2"/>
    <mergeCell ref="K15:L16"/>
    <mergeCell ref="M17:M18"/>
    <mergeCell ref="A13:A14"/>
    <mergeCell ref="N13:Q14"/>
    <mergeCell ref="B23:J24"/>
    <mergeCell ref="C6:D7"/>
    <mergeCell ref="M23:M24"/>
    <mergeCell ref="A5:Q5"/>
    <mergeCell ref="N15:Q16"/>
    <mergeCell ref="B13:J14"/>
    <mergeCell ref="K21:L22"/>
    <mergeCell ref="G6:I7"/>
    <mergeCell ref="N27:Q28"/>
    <mergeCell ref="B19:J20"/>
    <mergeCell ref="J6:K7"/>
    <mergeCell ref="P6:Q7"/>
    <mergeCell ref="M19:M20"/>
    <mergeCell ref="A1:B4"/>
    <mergeCell ref="B15:J16"/>
    <mergeCell ref="A6:B7"/>
    <mergeCell ref="O6:O7"/>
    <mergeCell ref="C8:Q9"/>
    <mergeCell ref="L6:N7"/>
  </mergeCells>
  <pageMargins left="0.7" right="0.7" top="0.75" bottom="0.75" header="0.3" footer="0.3"/>
  <pageSetup orientation="portrait" scale="54" fitToHeight="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0"/>
  <sheetViews>
    <sheetView view="pageBreakPreview" topLeftCell="A11" zoomScale="115" zoomScaleNormal="85" zoomScaleSheetLayoutView="115" workbookViewId="0">
      <selection activeCell="M18" sqref="M18:P18"/>
    </sheetView>
  </sheetViews>
  <sheetFormatPr baseColWidth="8" defaultRowHeight="15.75"/>
  <cols>
    <col width="10.875" customWidth="1" min="2" max="2"/>
    <col width="5.75" customWidth="1" min="8" max="8"/>
    <col hidden="1" width="2.25" customWidth="1" min="9" max="9"/>
    <col width="10.125" bestFit="1" customWidth="1" min="11" max="11"/>
    <col width="14.75" customWidth="1" min="13" max="13"/>
    <col width="3.25" customWidth="1" min="16" max="16"/>
  </cols>
  <sheetData>
    <row r="1">
      <c r="A1" s="510" t="n"/>
      <c r="B1" s="743" t="n"/>
      <c r="C1" s="501" t="inlineStr">
        <is>
          <t>XX TURNAROUND XX
Turnaround and Maintenance Works Quality Control</t>
        </is>
      </c>
      <c r="D1" s="745" t="n"/>
      <c r="E1" s="745" t="n"/>
      <c r="F1" s="745" t="n"/>
      <c r="G1" s="745" t="n"/>
      <c r="H1" s="745" t="n"/>
      <c r="I1" s="745" t="n"/>
      <c r="J1" s="745" t="n"/>
      <c r="K1" s="745" t="n"/>
      <c r="L1" s="745" t="n"/>
      <c r="M1" s="745" t="n"/>
      <c r="N1" s="745" t="n"/>
      <c r="O1" s="745" t="n"/>
      <c r="P1" s="746" t="n"/>
      <c r="Q1" t="n">
        <v>1</v>
      </c>
    </row>
    <row r="2">
      <c r="B2" s="743" t="n"/>
      <c r="C2" s="751" t="n"/>
      <c r="P2" s="743" t="n"/>
    </row>
    <row r="3">
      <c r="B3" s="743" t="n"/>
      <c r="C3" s="751" t="n"/>
      <c r="P3" s="743" t="n"/>
    </row>
    <row r="4">
      <c r="B4" s="743" t="n"/>
      <c r="C4" s="751" t="n"/>
      <c r="P4" s="743" t="n"/>
    </row>
    <row r="5">
      <c r="B5" s="743" t="n"/>
      <c r="C5" s="744" t="n"/>
      <c r="D5" s="624" t="n"/>
      <c r="E5" s="624" t="n"/>
      <c r="F5" s="624" t="n"/>
      <c r="G5" s="624" t="n"/>
      <c r="H5" s="624" t="n"/>
      <c r="I5" s="624" t="n"/>
      <c r="J5" s="624" t="n"/>
      <c r="K5" s="624" t="n"/>
      <c r="L5" s="624" t="n"/>
      <c r="M5" s="624" t="n"/>
      <c r="N5" s="624" t="n"/>
      <c r="O5" s="624" t="n"/>
      <c r="P5" s="625" t="n"/>
    </row>
    <row r="6" ht="21" customHeight="1">
      <c r="A6" s="624" t="n"/>
      <c r="B6" s="625" t="n"/>
      <c r="C6" s="459" t="inlineStr">
        <is>
          <t>Checklist for QC-MST-Valve Overhaul</t>
        </is>
      </c>
      <c r="D6" s="626" t="n"/>
      <c r="E6" s="626" t="n"/>
      <c r="F6" s="626" t="n"/>
      <c r="G6" s="626" t="n"/>
      <c r="H6" s="626" t="n"/>
      <c r="I6" s="626" t="n"/>
      <c r="J6" s="626" t="n"/>
      <c r="K6" s="626" t="n"/>
      <c r="L6" s="626" t="n"/>
      <c r="M6" s="626" t="n"/>
      <c r="N6" s="626" t="n"/>
      <c r="O6" s="626" t="n"/>
      <c r="P6" s="627" t="n"/>
    </row>
    <row r="7">
      <c r="A7" s="456" t="n"/>
      <c r="B7" s="626" t="n"/>
      <c r="C7" s="626" t="n"/>
      <c r="D7" s="626" t="n"/>
      <c r="E7" s="626" t="n"/>
      <c r="F7" s="626" t="n"/>
      <c r="G7" s="626" t="n"/>
      <c r="H7" s="626" t="n"/>
      <c r="I7" s="626" t="n"/>
      <c r="J7" s="626" t="n"/>
      <c r="K7" s="626" t="n"/>
      <c r="L7" s="626" t="n"/>
      <c r="M7" s="626" t="n"/>
      <c r="N7" s="626" t="n"/>
      <c r="O7" s="626" t="n"/>
      <c r="P7" s="627" t="n"/>
    </row>
    <row r="8" ht="27.6" customHeight="1">
      <c r="A8" s="502" t="inlineStr">
        <is>
          <t>Equipment Tag No.</t>
        </is>
      </c>
      <c r="B8" s="625" t="n"/>
      <c r="C8" s="503">
        <f>VLOOKUP(Q1,Summary!A1:AH376,9,0)</f>
        <v/>
      </c>
      <c r="D8" s="625" t="n"/>
      <c r="E8" s="504" t="inlineStr">
        <is>
          <t>Work ID</t>
        </is>
      </c>
      <c r="F8" s="625" t="n"/>
      <c r="G8" s="503">
        <f>VLOOKUP(Q1,Summary!A1:AH376,2,0)</f>
        <v/>
      </c>
      <c r="H8" s="624" t="n"/>
      <c r="I8" s="625" t="n"/>
      <c r="J8" s="504" t="inlineStr">
        <is>
          <t>Contractor</t>
        </is>
      </c>
      <c r="K8" s="625" t="n"/>
      <c r="L8" s="503" t="inlineStr">
        <is>
          <t>LENOG SDN BHD</t>
        </is>
      </c>
      <c r="M8" s="625" t="n"/>
      <c r="N8" s="502" t="inlineStr">
        <is>
          <t>Date</t>
        </is>
      </c>
      <c r="O8" s="470">
        <f>TODAY()</f>
        <v/>
      </c>
      <c r="P8" s="627" t="n"/>
    </row>
    <row r="9" ht="37.9" customHeight="1">
      <c r="A9" s="469" t="inlineStr">
        <is>
          <t>Work Description</t>
        </is>
      </c>
      <c r="B9" s="627" t="n"/>
      <c r="C9" s="475">
        <f>VLOOKUP(Q1,Summary!A1:AH376,12,0)</f>
        <v/>
      </c>
      <c r="D9" s="626" t="n"/>
      <c r="E9" s="626" t="n"/>
      <c r="F9" s="626" t="n"/>
      <c r="G9" s="626" t="n"/>
      <c r="H9" s="626" t="n"/>
      <c r="I9" s="626" t="n"/>
      <c r="J9" s="626" t="n"/>
      <c r="K9" s="626" t="n"/>
      <c r="L9" s="626" t="n"/>
      <c r="M9" s="626" t="n"/>
      <c r="N9" s="626" t="n"/>
      <c r="O9" s="626" t="n"/>
      <c r="P9" s="627" t="n"/>
    </row>
    <row r="10" ht="34.15" customHeight="1">
      <c r="A10" s="507" t="inlineStr">
        <is>
          <t>QUALITY CHECKS</t>
        </is>
      </c>
      <c r="B10" s="626" t="n"/>
      <c r="C10" s="626" t="n"/>
      <c r="D10" s="626" t="n"/>
      <c r="E10" s="626" t="n"/>
      <c r="F10" s="626" t="n"/>
      <c r="G10" s="626" t="n"/>
      <c r="H10" s="626" t="n"/>
      <c r="I10" s="626" t="n"/>
      <c r="J10" s="626" t="n"/>
      <c r="K10" s="626" t="n"/>
      <c r="L10" s="626" t="n"/>
      <c r="M10" s="626" t="n"/>
      <c r="N10" s="626" t="n"/>
      <c r="O10" s="626" t="n"/>
      <c r="P10" s="627" t="n"/>
    </row>
    <row r="11" ht="30" customHeight="1">
      <c r="A11" s="117" t="inlineStr">
        <is>
          <t>No.</t>
        </is>
      </c>
      <c r="B11" s="526" t="inlineStr">
        <is>
          <t>Action</t>
        </is>
      </c>
      <c r="C11" s="626" t="n"/>
      <c r="D11" s="626" t="n"/>
      <c r="E11" s="626" t="n"/>
      <c r="F11" s="626" t="n"/>
      <c r="G11" s="626" t="n"/>
      <c r="H11" s="626" t="n"/>
      <c r="I11" s="627" t="n"/>
      <c r="J11" s="118" t="inlineStr">
        <is>
          <t>Accepted</t>
        </is>
      </c>
      <c r="K11" s="119" t="inlineStr">
        <is>
          <t>Not Accepted</t>
        </is>
      </c>
      <c r="L11" s="118" t="inlineStr">
        <is>
          <t>NA</t>
        </is>
      </c>
      <c r="M11" s="499" t="inlineStr">
        <is>
          <t>Remarks</t>
        </is>
      </c>
      <c r="N11" s="745" t="n"/>
      <c r="O11" s="745" t="n"/>
      <c r="P11" s="745" t="n"/>
    </row>
    <row r="12" ht="18" customHeight="1">
      <c r="A12" s="69" t="n"/>
      <c r="B12" s="511" t="inlineStr">
        <is>
          <t>Preparation</t>
        </is>
      </c>
      <c r="C12" s="626" t="n"/>
      <c r="D12" s="626" t="n"/>
      <c r="E12" s="626" t="n"/>
      <c r="F12" s="626" t="n"/>
      <c r="G12" s="626" t="n"/>
      <c r="H12" s="626" t="n"/>
      <c r="I12" s="627" t="n"/>
      <c r="J12" s="69" t="n"/>
      <c r="K12" s="456" t="n"/>
      <c r="L12" s="456" t="n"/>
      <c r="M12" s="456" t="n"/>
      <c r="N12" s="626" t="n"/>
      <c r="O12" s="626" t="n"/>
      <c r="P12" s="627" t="n"/>
    </row>
    <row r="13" ht="18" customHeight="1">
      <c r="A13" s="485" t="n">
        <v>1</v>
      </c>
      <c r="B13" s="512" t="inlineStr">
        <is>
          <t>Valve assembly as per drawing</t>
        </is>
      </c>
      <c r="C13" s="626" t="n"/>
      <c r="D13" s="626" t="n"/>
      <c r="E13" s="626" t="n"/>
      <c r="F13" s="626" t="n"/>
      <c r="G13" s="626" t="n"/>
      <c r="H13" s="626" t="n"/>
      <c r="I13" s="627" t="n"/>
      <c r="J13" s="69" t="n"/>
      <c r="K13" s="456" t="n"/>
      <c r="L13" s="456" t="n"/>
      <c r="M13" s="456" t="n"/>
      <c r="N13" s="626" t="n"/>
      <c r="O13" s="626" t="n"/>
      <c r="P13" s="627" t="n"/>
    </row>
    <row r="14" ht="18" customHeight="1">
      <c r="A14" s="485" t="n">
        <v>2</v>
      </c>
      <c r="B14" s="512" t="inlineStr">
        <is>
          <t>Spare parts kit as per list/drawing (if applicable)</t>
        </is>
      </c>
      <c r="C14" s="626" t="n"/>
      <c r="D14" s="626" t="n"/>
      <c r="E14" s="626" t="n"/>
      <c r="F14" s="626" t="n"/>
      <c r="G14" s="626" t="n"/>
      <c r="H14" s="626" t="n"/>
      <c r="I14" s="627" t="n"/>
      <c r="J14" s="69" t="n"/>
      <c r="K14" s="456" t="n"/>
      <c r="L14" s="456" t="n"/>
      <c r="M14" s="456" t="n"/>
      <c r="N14" s="626" t="n"/>
      <c r="O14" s="626" t="n"/>
      <c r="P14" s="627" t="n"/>
    </row>
    <row r="15" ht="18" customHeight="1">
      <c r="A15" s="485" t="n"/>
      <c r="B15" s="513" t="inlineStr">
        <is>
          <t>Servicing/overhaul</t>
        </is>
      </c>
      <c r="C15" s="626" t="n"/>
      <c r="D15" s="626" t="n"/>
      <c r="E15" s="626" t="n"/>
      <c r="F15" s="626" t="n"/>
      <c r="G15" s="626" t="n"/>
      <c r="H15" s="626" t="n"/>
      <c r="I15" s="627" t="n"/>
      <c r="J15" s="69" t="n"/>
      <c r="K15" s="456" t="n"/>
      <c r="L15" s="456" t="n"/>
      <c r="M15" s="456" t="n"/>
      <c r="N15" s="626" t="n"/>
      <c r="O15" s="626" t="n"/>
      <c r="P15" s="627" t="n"/>
    </row>
    <row r="16" ht="18" customHeight="1">
      <c r="A16" s="485" t="n">
        <v>3</v>
      </c>
      <c r="B16" s="512" t="inlineStr">
        <is>
          <t>Valve Removal</t>
        </is>
      </c>
      <c r="C16" s="626" t="n"/>
      <c r="D16" s="626" t="n"/>
      <c r="E16" s="626" t="n"/>
      <c r="F16" s="626" t="n"/>
      <c r="G16" s="626" t="n"/>
      <c r="H16" s="626" t="n"/>
      <c r="I16" s="627" t="n"/>
      <c r="J16" s="69" t="n"/>
      <c r="K16" s="456" t="n"/>
      <c r="L16" s="456" t="n"/>
      <c r="M16" s="456" t="n"/>
      <c r="N16" s="626" t="n"/>
      <c r="O16" s="626" t="n"/>
      <c r="P16" s="627" t="n"/>
    </row>
    <row r="17" ht="18" customHeight="1">
      <c r="A17" s="485" t="n"/>
      <c r="B17" s="512" t="inlineStr">
        <is>
          <t>Installation</t>
        </is>
      </c>
      <c r="C17" s="626" t="n"/>
      <c r="D17" s="626" t="n"/>
      <c r="E17" s="626" t="n"/>
      <c r="F17" s="626" t="n"/>
      <c r="G17" s="626" t="n"/>
      <c r="H17" s="626" t="n"/>
      <c r="I17" s="627" t="n"/>
      <c r="J17" s="69" t="n"/>
      <c r="K17" s="456" t="n"/>
      <c r="L17" s="456" t="n"/>
      <c r="M17" s="456" t="n"/>
      <c r="N17" s="626" t="n"/>
      <c r="O17" s="626" t="n"/>
      <c r="P17" s="627" t="n"/>
    </row>
    <row r="18" ht="18" customHeight="1">
      <c r="A18" s="485" t="n">
        <v>4</v>
      </c>
      <c r="B18" s="752" t="inlineStr">
        <is>
          <t>Valve flow direction (applicable to globe and check valve)</t>
        </is>
      </c>
      <c r="C18" s="626" t="n"/>
      <c r="D18" s="626" t="n"/>
      <c r="E18" s="626" t="n"/>
      <c r="F18" s="626" t="n"/>
      <c r="G18" s="626" t="n"/>
      <c r="H18" s="627" t="n"/>
      <c r="I18" s="512" t="n"/>
      <c r="J18" s="69" t="n"/>
      <c r="K18" s="456" t="n"/>
      <c r="L18" s="456" t="n"/>
      <c r="M18" s="456" t="n"/>
      <c r="N18" s="626" t="n"/>
      <c r="O18" s="626" t="n"/>
      <c r="P18" s="627" t="n"/>
    </row>
    <row r="19" ht="18" customHeight="1">
      <c r="A19" s="485" t="n">
        <v>5</v>
      </c>
      <c r="B19" s="513" t="inlineStr">
        <is>
          <t>Packing of gland</t>
        </is>
      </c>
      <c r="C19" s="626" t="n"/>
      <c r="D19" s="626" t="n"/>
      <c r="E19" s="626" t="n"/>
      <c r="F19" s="626" t="n"/>
      <c r="G19" s="626" t="n"/>
      <c r="H19" s="626" t="n"/>
      <c r="I19" s="627" t="n"/>
      <c r="J19" s="69" t="n"/>
      <c r="K19" s="456" t="n"/>
      <c r="L19" s="456" t="n"/>
      <c r="M19" s="456" t="n"/>
      <c r="N19" s="626" t="n"/>
      <c r="O19" s="626" t="n"/>
      <c r="P19" s="627" t="n"/>
    </row>
    <row r="20" ht="18" customHeight="1">
      <c r="A20" s="753" t="n"/>
      <c r="B20" s="512" t="inlineStr">
        <is>
          <t>a) Size of packing</t>
        </is>
      </c>
      <c r="C20" s="626" t="n"/>
      <c r="D20" s="626" t="n"/>
      <c r="E20" s="626" t="n"/>
      <c r="F20" s="626" t="n"/>
      <c r="G20" s="626" t="n"/>
      <c r="H20" s="626" t="n"/>
      <c r="I20" s="627" t="n"/>
      <c r="J20" s="69" t="n"/>
      <c r="K20" s="456" t="n"/>
      <c r="L20" s="456" t="n"/>
      <c r="M20" s="456" t="n"/>
      <c r="N20" s="626" t="n"/>
      <c r="O20" s="626" t="n"/>
      <c r="P20" s="627" t="n"/>
    </row>
    <row r="21" ht="18" customHeight="1">
      <c r="A21" s="753" t="n"/>
      <c r="B21" s="512" t="inlineStr">
        <is>
          <t>b) Type/material of packing</t>
        </is>
      </c>
      <c r="C21" s="626" t="n"/>
      <c r="D21" s="626" t="n"/>
      <c r="E21" s="626" t="n"/>
      <c r="F21" s="626" t="n"/>
      <c r="G21" s="626" t="n"/>
      <c r="H21" s="626" t="n"/>
      <c r="I21" s="627" t="n"/>
      <c r="J21" s="69" t="n"/>
      <c r="K21" s="456" t="n"/>
      <c r="L21" s="456" t="n"/>
      <c r="M21" s="456" t="n"/>
      <c r="N21" s="626" t="n"/>
      <c r="O21" s="626" t="n"/>
      <c r="P21" s="627" t="n"/>
    </row>
    <row r="22" ht="18" customHeight="1">
      <c r="A22" s="748" t="n"/>
      <c r="B22" s="512" t="inlineStr">
        <is>
          <t>c) Joint design</t>
        </is>
      </c>
      <c r="C22" s="626" t="n"/>
      <c r="D22" s="626" t="n"/>
      <c r="E22" s="626" t="n"/>
      <c r="F22" s="626" t="n"/>
      <c r="G22" s="626" t="n"/>
      <c r="H22" s="626" t="n"/>
      <c r="I22" s="627" t="n"/>
      <c r="J22" s="69" t="n"/>
      <c r="K22" s="456" t="n"/>
      <c r="L22" s="456" t="n"/>
      <c r="M22" s="456" t="n"/>
      <c r="N22" s="626" t="n"/>
      <c r="O22" s="626" t="n"/>
      <c r="P22" s="627" t="n"/>
    </row>
    <row r="23" ht="18" customHeight="1">
      <c r="A23" s="485" t="n"/>
      <c r="B23" s="512" t="inlineStr">
        <is>
          <t>e) Cleanliness of the stuffing box</t>
        </is>
      </c>
      <c r="C23" s="626" t="n"/>
      <c r="D23" s="626" t="n"/>
      <c r="E23" s="626" t="n"/>
      <c r="F23" s="626" t="n"/>
      <c r="G23" s="626" t="n"/>
      <c r="H23" s="626" t="n"/>
      <c r="I23" s="627" t="n"/>
      <c r="J23" s="69" t="n"/>
      <c r="K23" s="69" t="n"/>
      <c r="L23" s="69" t="n"/>
      <c r="M23" s="456" t="n"/>
      <c r="N23" s="626" t="n"/>
      <c r="O23" s="626" t="n"/>
      <c r="P23" s="627" t="n"/>
    </row>
    <row r="24" ht="18" customHeight="1">
      <c r="A24" s="485" t="n">
        <v>6</v>
      </c>
      <c r="B24" s="513" t="inlineStr">
        <is>
          <t>Bonnet</t>
        </is>
      </c>
      <c r="C24" s="626" t="n"/>
      <c r="D24" s="626" t="n"/>
      <c r="E24" s="626" t="n"/>
      <c r="F24" s="626" t="n"/>
      <c r="G24" s="626" t="n"/>
      <c r="H24" s="626" t="n"/>
      <c r="I24" s="627" t="n"/>
      <c r="J24" s="69" t="n"/>
      <c r="K24" s="456" t="n"/>
      <c r="L24" s="456" t="n"/>
      <c r="M24" s="456" t="n"/>
      <c r="N24" s="626" t="n"/>
      <c r="O24" s="626" t="n"/>
      <c r="P24" s="627" t="n"/>
    </row>
    <row r="25" ht="18" customHeight="1">
      <c r="A25" s="753" t="n"/>
      <c r="B25" s="512" t="inlineStr">
        <is>
          <t>a) Material and size of bonnet gasket</t>
        </is>
      </c>
      <c r="C25" s="626" t="n"/>
      <c r="D25" s="626" t="n"/>
      <c r="E25" s="626" t="n"/>
      <c r="F25" s="626" t="n"/>
      <c r="G25" s="626" t="n"/>
      <c r="H25" s="626" t="n"/>
      <c r="I25" s="627" t="n"/>
      <c r="J25" s="69" t="n"/>
      <c r="K25" s="456" t="n"/>
      <c r="L25" s="456" t="n"/>
      <c r="M25" s="456" t="n"/>
      <c r="N25" s="626" t="n"/>
      <c r="O25" s="626" t="n"/>
      <c r="P25" s="627" t="n"/>
    </row>
    <row r="26" ht="18" customHeight="1">
      <c r="A26" s="748" t="n"/>
      <c r="B26" s="512" t="inlineStr">
        <is>
          <t>b) Controlled bolting (if applicable)</t>
        </is>
      </c>
      <c r="C26" s="626" t="n"/>
      <c r="D26" s="626" t="n"/>
      <c r="E26" s="626" t="n"/>
      <c r="F26" s="626" t="n"/>
      <c r="G26" s="626" t="n"/>
      <c r="H26" s="626" t="n"/>
      <c r="I26" s="627" t="n"/>
      <c r="J26" s="69" t="n"/>
      <c r="K26" s="456" t="n"/>
      <c r="L26" s="456" t="n"/>
      <c r="M26" s="456" t="n"/>
      <c r="N26" s="626" t="n"/>
      <c r="O26" s="626" t="n"/>
      <c r="P26" s="627" t="n"/>
    </row>
    <row r="27" ht="18" customHeight="1">
      <c r="A27" s="485" t="n">
        <v>7</v>
      </c>
      <c r="B27" s="517" t="inlineStr">
        <is>
          <t>Replacement/repair of valve trim:</t>
        </is>
      </c>
      <c r="C27" s="626" t="n"/>
      <c r="D27" s="626" t="n"/>
      <c r="E27" s="626" t="n"/>
      <c r="F27" s="626" t="n"/>
      <c r="G27" s="626" t="n"/>
      <c r="H27" s="626" t="n"/>
      <c r="I27" s="627" t="n"/>
      <c r="J27" s="69" t="n"/>
      <c r="K27" s="456" t="n"/>
      <c r="L27" s="456" t="n"/>
      <c r="M27" s="456" t="n"/>
      <c r="N27" s="626" t="n"/>
      <c r="O27" s="626" t="n"/>
      <c r="P27" s="627" t="n"/>
    </row>
    <row r="28" ht="18" customHeight="1">
      <c r="A28" s="753" t="n"/>
      <c r="B28" s="512" t="inlineStr">
        <is>
          <t>a) Welding rod for tack welding : ___________</t>
        </is>
      </c>
      <c r="C28" s="626" t="n"/>
      <c r="D28" s="626" t="n"/>
      <c r="E28" s="626" t="n"/>
      <c r="F28" s="626" t="n"/>
      <c r="G28" s="626" t="n"/>
      <c r="H28" s="626" t="n"/>
      <c r="I28" s="627" t="n"/>
      <c r="J28" s="69" t="n"/>
      <c r="K28" s="456" t="n"/>
      <c r="L28" s="456" t="n"/>
      <c r="M28" s="456" t="n"/>
      <c r="N28" s="626" t="n"/>
      <c r="O28" s="626" t="n"/>
      <c r="P28" s="627" t="n"/>
    </row>
    <row r="29" ht="18" customHeight="1">
      <c r="A29" s="753" t="n"/>
      <c r="B29" s="512" t="inlineStr">
        <is>
          <t>b) Post machining dimensions of trim parts are within tolerance</t>
        </is>
      </c>
      <c r="C29" s="626" t="n"/>
      <c r="D29" s="626" t="n"/>
      <c r="E29" s="626" t="n"/>
      <c r="F29" s="626" t="n"/>
      <c r="G29" s="626" t="n"/>
      <c r="H29" s="626" t="n"/>
      <c r="I29" s="627" t="n"/>
      <c r="J29" s="69" t="n"/>
      <c r="K29" s="456" t="n"/>
      <c r="L29" s="456" t="n"/>
      <c r="M29" s="456" t="n"/>
      <c r="N29" s="626" t="n"/>
      <c r="O29" s="626" t="n"/>
      <c r="P29" s="627" t="n"/>
    </row>
    <row r="30" ht="18" customHeight="1">
      <c r="A30" s="748" t="n"/>
      <c r="B30" s="512" t="inlineStr">
        <is>
          <t>c) Fitting of trim parts</t>
        </is>
      </c>
      <c r="C30" s="626" t="n"/>
      <c r="D30" s="626" t="n"/>
      <c r="E30" s="626" t="n"/>
      <c r="F30" s="626" t="n"/>
      <c r="G30" s="626" t="n"/>
      <c r="H30" s="626" t="n"/>
      <c r="I30" s="627" t="n"/>
      <c r="J30" s="69" t="n"/>
      <c r="K30" s="456" t="n"/>
      <c r="L30" s="456" t="n"/>
      <c r="M30" s="456" t="n"/>
      <c r="N30" s="626" t="n"/>
      <c r="O30" s="626" t="n"/>
      <c r="P30" s="627" t="n"/>
    </row>
    <row r="31" ht="18" customHeight="1">
      <c r="A31" s="485" t="n">
        <v>8</v>
      </c>
      <c r="B31" s="512" t="inlineStr">
        <is>
          <t>Seat Leakage Test</t>
        </is>
      </c>
      <c r="C31" s="626" t="n"/>
      <c r="D31" s="626" t="n"/>
      <c r="E31" s="626" t="n"/>
      <c r="F31" s="626" t="n"/>
      <c r="G31" s="626" t="n"/>
      <c r="H31" s="626" t="n"/>
      <c r="I31" s="627" t="n"/>
      <c r="J31" s="69" t="n"/>
      <c r="K31" s="456" t="n"/>
      <c r="L31" s="456" t="n"/>
      <c r="M31" s="456" t="n"/>
      <c r="N31" s="626" t="n"/>
      <c r="O31" s="626" t="n"/>
      <c r="P31" s="627" t="n"/>
    </row>
    <row r="32" ht="18" customHeight="1">
      <c r="A32" s="485" t="n">
        <v>9</v>
      </c>
      <c r="B32" s="512" t="inlineStr">
        <is>
          <t>Body Leak Test</t>
        </is>
      </c>
      <c r="C32" s="626" t="n"/>
      <c r="D32" s="626" t="n"/>
      <c r="E32" s="626" t="n"/>
      <c r="F32" s="626" t="n"/>
      <c r="G32" s="626" t="n"/>
      <c r="H32" s="626" t="n"/>
      <c r="I32" s="627" t="n"/>
      <c r="J32" s="69" t="n"/>
      <c r="K32" s="456" t="n"/>
      <c r="L32" s="456" t="n"/>
      <c r="M32" s="456" t="n"/>
      <c r="N32" s="626" t="n"/>
      <c r="O32" s="626" t="n"/>
      <c r="P32" s="627" t="n"/>
    </row>
    <row r="33">
      <c r="A33" s="507" t="inlineStr">
        <is>
          <t>AS LEFT TEST</t>
        </is>
      </c>
      <c r="B33" s="745" t="n"/>
      <c r="C33" s="745" t="n"/>
      <c r="D33" s="745" t="n"/>
      <c r="E33" s="745" t="n"/>
      <c r="F33" s="745" t="n"/>
      <c r="G33" s="745" t="n"/>
      <c r="H33" s="745" t="n"/>
      <c r="I33" s="745" t="n"/>
      <c r="J33" s="745" t="n"/>
      <c r="K33" s="745" t="n"/>
      <c r="L33" s="745" t="n"/>
      <c r="M33" s="745" t="n"/>
      <c r="N33" s="745" t="n"/>
      <c r="O33" s="745" t="n"/>
      <c r="P33" s="746" t="n"/>
    </row>
    <row r="34" ht="21" customHeight="1">
      <c r="A34" s="744" t="n"/>
      <c r="B34" s="624" t="n"/>
      <c r="C34" s="624" t="n"/>
      <c r="D34" s="624" t="n"/>
      <c r="E34" s="624" t="n"/>
      <c r="F34" s="624" t="n"/>
      <c r="G34" s="624" t="n"/>
      <c r="H34" s="624" t="n"/>
      <c r="I34" s="624" t="n"/>
      <c r="J34" s="624" t="n"/>
      <c r="K34" s="624" t="n"/>
      <c r="L34" s="624" t="n"/>
      <c r="M34" s="624" t="n"/>
      <c r="N34" s="624" t="n"/>
      <c r="O34" s="624" t="n"/>
      <c r="P34" s="625" t="n"/>
    </row>
    <row r="35" ht="30" customHeight="1">
      <c r="A35" s="526" t="inlineStr">
        <is>
          <t>No.</t>
        </is>
      </c>
      <c r="B35" s="526" t="inlineStr">
        <is>
          <t>Item</t>
        </is>
      </c>
      <c r="C35" s="626" t="n"/>
      <c r="D35" s="626" t="n"/>
      <c r="E35" s="626" t="n"/>
      <c r="F35" s="626" t="n"/>
      <c r="G35" s="626" t="n"/>
      <c r="H35" s="626" t="n"/>
      <c r="I35" s="627" t="n"/>
      <c r="J35" s="121" t="inlineStr">
        <is>
          <t>Accepted</t>
        </is>
      </c>
      <c r="K35" s="122" t="inlineStr">
        <is>
          <t>Not Accepted</t>
        </is>
      </c>
      <c r="L35" s="526" t="inlineStr">
        <is>
          <t>NA</t>
        </is>
      </c>
      <c r="M35" s="526" t="inlineStr">
        <is>
          <t>Remarks</t>
        </is>
      </c>
      <c r="N35" s="626" t="n"/>
      <c r="O35" s="626" t="n"/>
      <c r="P35" s="627" t="n"/>
    </row>
    <row r="36" ht="19.15" customHeight="1">
      <c r="A36" s="485" t="n">
        <v>1</v>
      </c>
      <c r="B36" s="754" t="inlineStr">
        <is>
          <t>Type : Ball / Globe / Butterfly / Other :__________</t>
        </is>
      </c>
      <c r="C36" s="626" t="n"/>
      <c r="D36" s="626" t="n"/>
      <c r="E36" s="626" t="n"/>
      <c r="F36" s="626" t="n"/>
      <c r="G36" s="626" t="n"/>
      <c r="H36" s="626" t="n"/>
      <c r="I36" s="627" t="n"/>
      <c r="J36" s="69" t="n"/>
      <c r="K36" s="456" t="n"/>
      <c r="L36" s="456" t="n"/>
      <c r="M36" s="518" t="inlineStr">
        <is>
          <t>Refer HT reports No:</t>
        </is>
      </c>
      <c r="N36" s="626" t="n"/>
      <c r="O36" s="626" t="n"/>
      <c r="P36" s="627" t="n"/>
    </row>
    <row r="37" ht="19.15" customHeight="1">
      <c r="A37" s="485" t="n">
        <v>2</v>
      </c>
      <c r="B37" s="754" t="inlineStr">
        <is>
          <t>Size/Rating : __________</t>
        </is>
      </c>
      <c r="C37" s="626" t="n"/>
      <c r="D37" s="626" t="n"/>
      <c r="E37" s="626" t="n"/>
      <c r="F37" s="626" t="n"/>
      <c r="G37" s="626" t="n"/>
      <c r="H37" s="626" t="n"/>
      <c r="I37" s="627" t="n"/>
      <c r="J37" s="69" t="n"/>
      <c r="K37" s="456" t="n"/>
      <c r="L37" s="456" t="n"/>
      <c r="M37" s="518" t="inlineStr">
        <is>
          <t>Refer HT reports No:</t>
        </is>
      </c>
      <c r="N37" s="626" t="n"/>
      <c r="O37" s="626" t="n"/>
      <c r="P37" s="627" t="n"/>
    </row>
    <row r="38" ht="19.15" customHeight="1">
      <c r="A38" s="485" t="n">
        <v>3</v>
      </c>
      <c r="B38" s="754" t="inlineStr">
        <is>
          <t>Medium : __________</t>
        </is>
      </c>
      <c r="C38" s="626" t="n"/>
      <c r="D38" s="626" t="n"/>
      <c r="E38" s="626" t="n"/>
      <c r="F38" s="626" t="n"/>
      <c r="G38" s="626" t="n"/>
      <c r="H38" s="626" t="n"/>
      <c r="I38" s="627" t="n"/>
      <c r="J38" s="69" t="n"/>
      <c r="K38" s="456" t="n"/>
      <c r="L38" s="456" t="n"/>
      <c r="M38" s="518" t="inlineStr">
        <is>
          <t>Refer HT reports No:</t>
        </is>
      </c>
      <c r="N38" s="626" t="n"/>
      <c r="O38" s="626" t="n"/>
      <c r="P38" s="627" t="n"/>
    </row>
    <row r="39" ht="19.15" customHeight="1">
      <c r="A39" s="485" t="n">
        <v>4</v>
      </c>
      <c r="B39" s="754" t="inlineStr">
        <is>
          <t>Test Pressure (bar) : __________</t>
        </is>
      </c>
      <c r="C39" s="626" t="n"/>
      <c r="D39" s="626" t="n"/>
      <c r="E39" s="626" t="n"/>
      <c r="F39" s="626" t="n"/>
      <c r="G39" s="626" t="n"/>
      <c r="H39" s="626" t="n"/>
      <c r="I39" s="627" t="n"/>
      <c r="J39" s="69" t="n"/>
      <c r="K39" s="456" t="n"/>
      <c r="L39" s="456" t="n"/>
      <c r="M39" s="518" t="inlineStr">
        <is>
          <t>Refer HT reports No:</t>
        </is>
      </c>
      <c r="N39" s="626" t="n"/>
      <c r="O39" s="626" t="n"/>
      <c r="P39" s="627" t="n"/>
    </row>
    <row r="40" ht="19.15" customHeight="1">
      <c r="A40" s="485" t="n">
        <v>5</v>
      </c>
      <c r="B40" s="754" t="inlineStr">
        <is>
          <t>Holding Time :__________</t>
        </is>
      </c>
      <c r="C40" s="626" t="n"/>
      <c r="D40" s="626" t="n"/>
      <c r="E40" s="626" t="n"/>
      <c r="F40" s="626" t="n"/>
      <c r="G40" s="626" t="n"/>
      <c r="H40" s="626" t="n"/>
      <c r="I40" s="627" t="n"/>
      <c r="J40" s="69" t="n"/>
      <c r="K40" s="456" t="n"/>
      <c r="L40" s="456" t="n"/>
      <c r="M40" s="518" t="inlineStr">
        <is>
          <t>Refer HT reports No:</t>
        </is>
      </c>
      <c r="N40" s="626" t="n"/>
      <c r="O40" s="626" t="n"/>
      <c r="P40" s="627" t="n"/>
    </row>
    <row r="41" ht="19.15" customHeight="1">
      <c r="A41" s="485" t="n">
        <v>6</v>
      </c>
      <c r="B41" s="754" t="inlineStr">
        <is>
          <t>Allowable leakage (L/Min) :__________</t>
        </is>
      </c>
      <c r="C41" s="626" t="n"/>
      <c r="D41" s="626" t="n"/>
      <c r="E41" s="626" t="n"/>
      <c r="F41" s="626" t="n"/>
      <c r="G41" s="626" t="n"/>
      <c r="H41" s="626" t="n"/>
      <c r="I41" s="627" t="n"/>
      <c r="J41" s="69" t="n"/>
      <c r="K41" s="456" t="n"/>
      <c r="L41" s="456" t="n"/>
      <c r="M41" s="518" t="inlineStr">
        <is>
          <t>Refer HT reports No:</t>
        </is>
      </c>
      <c r="N41" s="626" t="n"/>
      <c r="O41" s="626" t="n"/>
      <c r="P41" s="627" t="n"/>
    </row>
    <row r="42" ht="19.15" customHeight="1">
      <c r="A42" s="485" t="n">
        <v>7</v>
      </c>
      <c r="B42" s="754" t="inlineStr">
        <is>
          <t>Actual leakage (L/Min) :__________</t>
        </is>
      </c>
      <c r="C42" s="626" t="n"/>
      <c r="D42" s="626" t="n"/>
      <c r="E42" s="626" t="n"/>
      <c r="F42" s="626" t="n"/>
      <c r="G42" s="626" t="n"/>
      <c r="H42" s="626" t="n"/>
      <c r="I42" s="627" t="n"/>
      <c r="J42" s="69" t="n"/>
      <c r="K42" s="456" t="n"/>
      <c r="L42" s="456" t="n"/>
      <c r="M42" s="518" t="inlineStr">
        <is>
          <t>Refer HT reports No:</t>
        </is>
      </c>
      <c r="N42" s="626" t="n"/>
      <c r="O42" s="626" t="n"/>
      <c r="P42" s="627" t="n"/>
    </row>
    <row r="43">
      <c r="A43" s="456" t="n"/>
      <c r="B43" s="626" t="n"/>
      <c r="C43" s="626" t="n"/>
      <c r="D43" s="626" t="n"/>
      <c r="E43" s="626" t="n"/>
      <c r="F43" s="626" t="n"/>
      <c r="G43" s="626" t="n"/>
      <c r="H43" s="626" t="n"/>
      <c r="I43" s="626" t="n"/>
      <c r="J43" s="626" t="n"/>
      <c r="K43" s="626" t="n"/>
      <c r="L43" s="626" t="n"/>
      <c r="M43" s="626" t="n"/>
      <c r="N43" s="626" t="n"/>
      <c r="O43" s="626" t="n"/>
      <c r="P43" s="627" t="n"/>
    </row>
    <row r="44" ht="15.6" customHeight="1">
      <c r="A44" s="107" t="inlineStr">
        <is>
          <t xml:space="preserve">
Checked by:
Name :____________________
Designation : QC Inspector
Date  :____________________</t>
        </is>
      </c>
      <c r="B44" s="108" t="n"/>
      <c r="C44" s="108" t="n"/>
      <c r="D44" s="108" t="n"/>
      <c r="E44" s="108" t="n"/>
      <c r="F44" s="108" t="n"/>
      <c r="G44" s="108" t="n"/>
      <c r="H44" s="113" t="n"/>
      <c r="I44" s="108" t="inlineStr">
        <is>
          <t xml:space="preserve">
Accepted by :
Name :____________________
Designation : Area Engineer
Date  :____________________</t>
        </is>
      </c>
      <c r="J44" s="108" t="n"/>
      <c r="K44" s="108" t="n"/>
      <c r="L44" s="108" t="n"/>
      <c r="M44" s="108" t="n"/>
      <c r="N44" s="108" t="n"/>
      <c r="O44" s="108" t="n"/>
      <c r="P44" s="113" t="n"/>
    </row>
    <row r="45">
      <c r="A45" s="112" t="inlineStr">
        <is>
          <t>Checked by:</t>
        </is>
      </c>
      <c r="B45" s="103" t="n"/>
      <c r="C45" s="103" t="n"/>
      <c r="D45" s="103" t="n"/>
      <c r="E45" s="103" t="n"/>
      <c r="F45" s="103" t="n"/>
      <c r="G45" s="103" t="n"/>
      <c r="H45" s="114" t="n"/>
      <c r="I45" s="103" t="n"/>
      <c r="J45" s="112" t="inlineStr">
        <is>
          <t>Checked by:</t>
        </is>
      </c>
      <c r="K45" s="103" t="n"/>
      <c r="L45" s="103" t="n"/>
      <c r="M45" s="103" t="n"/>
      <c r="N45" s="103" t="n"/>
      <c r="O45" s="103" t="n"/>
      <c r="P45" s="114" t="n"/>
    </row>
    <row r="46">
      <c r="A46" s="109" t="n"/>
      <c r="B46" s="103" t="n"/>
      <c r="C46" s="103" t="n"/>
      <c r="D46" s="103" t="n"/>
      <c r="E46" s="103" t="n"/>
      <c r="F46" s="103" t="n"/>
      <c r="G46" s="103" t="n"/>
      <c r="H46" s="114" t="n"/>
      <c r="I46" s="103" t="n"/>
      <c r="J46" s="109" t="n"/>
      <c r="K46" s="103" t="n"/>
      <c r="L46" s="103" t="n"/>
      <c r="M46" s="103" t="n"/>
      <c r="N46" s="103" t="n"/>
      <c r="O46" s="103" t="n"/>
      <c r="P46" s="114" t="n"/>
    </row>
    <row r="47" ht="20.45" customHeight="1">
      <c r="A47" s="109" t="inlineStr">
        <is>
          <t>Name:</t>
        </is>
      </c>
      <c r="B47" s="103" t="n"/>
      <c r="C47" s="103" t="n"/>
      <c r="D47" s="103" t="n"/>
      <c r="E47" s="103" t="n"/>
      <c r="F47" s="103" t="n"/>
      <c r="G47" s="103" t="n"/>
      <c r="H47" s="114" t="n"/>
      <c r="I47" s="103" t="n"/>
      <c r="J47" s="109" t="inlineStr">
        <is>
          <t>Name:</t>
        </is>
      </c>
      <c r="K47" s="103" t="n"/>
      <c r="L47" s="103" t="n"/>
      <c r="M47" s="103" t="n"/>
      <c r="N47" s="103" t="n"/>
      <c r="O47" s="103" t="n"/>
      <c r="P47" s="114" t="n"/>
    </row>
    <row r="48" ht="17.45" customHeight="1">
      <c r="A48" s="112" t="inlineStr">
        <is>
          <t>Designation: QC Contractor</t>
        </is>
      </c>
      <c r="B48" s="103" t="n"/>
      <c r="C48" s="103" t="n"/>
      <c r="D48" s="103" t="n"/>
      <c r="E48" s="103" t="n"/>
      <c r="F48" s="103" t="n"/>
      <c r="G48" s="103" t="n"/>
      <c r="H48" s="114" t="n"/>
      <c r="I48" s="103" t="n"/>
      <c r="J48" s="112" t="inlineStr">
        <is>
          <t>Designation: Area Engineer</t>
        </is>
      </c>
      <c r="K48" s="103" t="n"/>
      <c r="L48" s="103" t="n"/>
      <c r="M48" s="103" t="n"/>
      <c r="N48" s="103" t="n"/>
      <c r="O48" s="103" t="n"/>
      <c r="P48" s="114" t="n"/>
    </row>
    <row r="49">
      <c r="A49" s="109" t="inlineStr">
        <is>
          <t>Date:</t>
        </is>
      </c>
      <c r="B49" s="106" t="n"/>
      <c r="C49" s="103" t="n"/>
      <c r="D49" s="103" t="n"/>
      <c r="E49" s="103" t="n"/>
      <c r="F49" s="103" t="n"/>
      <c r="G49" s="103" t="n"/>
      <c r="H49" s="114" t="n"/>
      <c r="I49" s="103" t="n"/>
      <c r="J49" s="109" t="inlineStr">
        <is>
          <t>Date:</t>
        </is>
      </c>
      <c r="K49" s="106" t="n"/>
      <c r="L49" s="103" t="n"/>
      <c r="M49" s="103" t="n"/>
      <c r="N49" s="103" t="n"/>
      <c r="O49" s="103" t="n"/>
      <c r="P49" s="114" t="n"/>
    </row>
    <row r="50">
      <c r="A50" s="110" t="n"/>
      <c r="B50" s="111" t="n"/>
      <c r="C50" s="111" t="n"/>
      <c r="D50" s="111" t="n"/>
      <c r="E50" s="111" t="n"/>
      <c r="F50" s="111" t="n"/>
      <c r="G50" s="111" t="n"/>
      <c r="H50" s="115" t="n"/>
      <c r="I50" s="111" t="n"/>
      <c r="J50" s="110" t="n"/>
      <c r="K50" s="111" t="n"/>
      <c r="L50" s="111" t="n"/>
      <c r="M50" s="111" t="n"/>
      <c r="N50" s="111" t="n"/>
      <c r="O50" s="111" t="n"/>
      <c r="P50" s="115" t="n"/>
    </row>
  </sheetData>
  <mergeCells count="79">
    <mergeCell ref="M32:P32"/>
    <mergeCell ref="M14:P14"/>
    <mergeCell ref="M29:P29"/>
    <mergeCell ref="E8:F8"/>
    <mergeCell ref="M23:P23"/>
    <mergeCell ref="A24:A26"/>
    <mergeCell ref="B17:I17"/>
    <mergeCell ref="B18:H18"/>
    <mergeCell ref="M35:P35"/>
    <mergeCell ref="B19:I19"/>
    <mergeCell ref="O8:P8"/>
    <mergeCell ref="M16:P16"/>
    <mergeCell ref="M25:P25"/>
    <mergeCell ref="B36:I36"/>
    <mergeCell ref="A9:B9"/>
    <mergeCell ref="M18:P18"/>
    <mergeCell ref="M17:P17"/>
    <mergeCell ref="B22:I22"/>
    <mergeCell ref="B31:I31"/>
    <mergeCell ref="M19:P19"/>
    <mergeCell ref="B12:I12"/>
    <mergeCell ref="A10:P10"/>
    <mergeCell ref="B21:I21"/>
    <mergeCell ref="B39:I39"/>
    <mergeCell ref="B14:I14"/>
    <mergeCell ref="B23:I23"/>
    <mergeCell ref="A27:A30"/>
    <mergeCell ref="B13:I13"/>
    <mergeCell ref="A33:P34"/>
    <mergeCell ref="A8:B8"/>
    <mergeCell ref="A1:B6"/>
    <mergeCell ref="C8:D8"/>
    <mergeCell ref="M13:P13"/>
    <mergeCell ref="M21:P21"/>
    <mergeCell ref="G8:I8"/>
    <mergeCell ref="B41:I41"/>
    <mergeCell ref="B35:I35"/>
    <mergeCell ref="M27:P27"/>
    <mergeCell ref="M36:P36"/>
    <mergeCell ref="B25:I25"/>
    <mergeCell ref="B27:I27"/>
    <mergeCell ref="A43:P43"/>
    <mergeCell ref="B11:I11"/>
    <mergeCell ref="L8:M8"/>
    <mergeCell ref="C9:P9"/>
    <mergeCell ref="M39:P39"/>
    <mergeCell ref="B29:I29"/>
    <mergeCell ref="B38:I38"/>
    <mergeCell ref="M11:P11"/>
    <mergeCell ref="B40:I40"/>
    <mergeCell ref="M31:P31"/>
    <mergeCell ref="B15:I15"/>
    <mergeCell ref="M40:P40"/>
    <mergeCell ref="B24:I24"/>
    <mergeCell ref="M12:P12"/>
    <mergeCell ref="B32:I32"/>
    <mergeCell ref="B26:I26"/>
    <mergeCell ref="M26:P26"/>
    <mergeCell ref="M41:P41"/>
    <mergeCell ref="B16:I16"/>
    <mergeCell ref="C6:P6"/>
    <mergeCell ref="M24:P24"/>
    <mergeCell ref="M38:P38"/>
    <mergeCell ref="B42:I42"/>
    <mergeCell ref="C1:P5"/>
    <mergeCell ref="B28:I28"/>
    <mergeCell ref="M20:P20"/>
    <mergeCell ref="B37:I37"/>
    <mergeCell ref="A19:A22"/>
    <mergeCell ref="A7:P7"/>
    <mergeCell ref="B30:I30"/>
    <mergeCell ref="M22:P22"/>
    <mergeCell ref="M30:P30"/>
    <mergeCell ref="B20:I20"/>
    <mergeCell ref="M15:P15"/>
    <mergeCell ref="M28:P28"/>
    <mergeCell ref="J8:K8"/>
    <mergeCell ref="M42:P42"/>
    <mergeCell ref="M37:P37"/>
  </mergeCells>
  <pageMargins left="0.7" right="0.7" top="0.75" bottom="0.75" header="0.3" footer="0.3"/>
  <pageSetup orientation="portrait" scale="61" fitToHeight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1"/>
  <sheetViews>
    <sheetView view="pageLayout" topLeftCell="A22" zoomScaleNormal="100" workbookViewId="0">
      <selection activeCell="M17" sqref="M17"/>
    </sheetView>
  </sheetViews>
  <sheetFormatPr baseColWidth="8" defaultRowHeight="15.75"/>
  <cols>
    <col width="3.75" customWidth="1" min="2" max="2"/>
    <col width="13.75" customWidth="1" min="3" max="3"/>
    <col width="9.875" customWidth="1" min="5" max="5"/>
    <col width="2.25" customWidth="1" min="6" max="6"/>
    <col width="8.375" customWidth="1" min="11" max="11"/>
  </cols>
  <sheetData>
    <row r="1">
      <c r="A1" s="138" t="n"/>
      <c r="B1" s="139" t="n"/>
      <c r="C1" s="139" t="n"/>
      <c r="D1" s="139" t="n"/>
      <c r="E1" s="140" t="n"/>
      <c r="G1" s="138" t="n"/>
      <c r="H1" s="139" t="n"/>
      <c r="I1" s="139" t="n"/>
      <c r="J1" s="139" t="n"/>
      <c r="K1" s="140" t="n"/>
      <c r="L1" t="n">
        <v>5</v>
      </c>
      <c r="M1" t="n">
        <v>6</v>
      </c>
      <c r="N1" t="n">
        <v>7</v>
      </c>
      <c r="O1" t="n">
        <v>8</v>
      </c>
    </row>
    <row r="2">
      <c r="A2" s="127" t="n"/>
      <c r="E2" s="141" t="n"/>
      <c r="G2" s="127" t="n"/>
      <c r="K2" s="141" t="n"/>
    </row>
    <row r="3">
      <c r="A3" s="127" t="n"/>
      <c r="E3" s="141" t="n"/>
      <c r="G3" s="127" t="n"/>
      <c r="K3" s="141" t="n"/>
    </row>
    <row r="4" ht="15.6" customHeight="1" thickBot="1">
      <c r="A4" s="127" t="n"/>
      <c r="E4" s="141" t="n"/>
      <c r="G4" s="127" t="n"/>
      <c r="K4" s="141" t="n"/>
    </row>
    <row r="5" hidden="1" ht="11.45" customHeight="1" thickBot="1">
      <c r="A5" s="142" t="n"/>
      <c r="B5" s="143" t="n"/>
      <c r="C5" s="143" t="n"/>
      <c r="D5" s="143" t="n"/>
      <c r="E5" s="144" t="n"/>
      <c r="G5" s="142" t="n"/>
      <c r="H5" s="143" t="n"/>
      <c r="I5" s="143" t="n"/>
      <c r="J5" s="143" t="n"/>
      <c r="K5" s="144" t="n"/>
    </row>
    <row r="6">
      <c r="A6" s="755" t="inlineStr">
        <is>
          <t>Work Order</t>
        </is>
      </c>
      <c r="B6" s="140" t="n"/>
      <c r="C6" s="755">
        <f>IF(VLOOKUP($L$1,Summary!$A$2:$AK$600,2,0)= 0,"", VLOOKUP($L$1,Summary!$A$2:$AK$600,2,0))</f>
        <v/>
      </c>
      <c r="D6" s="139" t="n"/>
      <c r="E6" s="140" t="n"/>
      <c r="G6" s="755" t="inlineStr">
        <is>
          <t>Work Order</t>
        </is>
      </c>
      <c r="H6" s="140" t="n"/>
      <c r="I6" s="755">
        <f>IF(VLOOKUP($M$1,Summary!$A$2:$AK$600,2,0)= 0,"", VLOOKUP($M$1,Summary!$A$2:$AK$600,2,0))</f>
        <v/>
      </c>
      <c r="J6" s="139" t="n"/>
      <c r="K6" s="140" t="n"/>
    </row>
    <row r="7">
      <c r="A7" s="127" t="n"/>
      <c r="B7" s="141" t="n"/>
      <c r="C7" s="127" t="n"/>
      <c r="E7" s="141" t="n"/>
      <c r="G7" s="127" t="n"/>
      <c r="H7" s="141" t="n"/>
      <c r="I7" s="127" t="n"/>
      <c r="K7" s="141" t="n"/>
      <c r="N7" t="n">
        <v>2</v>
      </c>
    </row>
    <row r="8" ht="16.5" customHeight="1" thickBot="1">
      <c r="A8" s="142" t="n"/>
      <c r="B8" s="144" t="n"/>
      <c r="C8" s="142" t="n"/>
      <c r="D8" s="143" t="n"/>
      <c r="E8" s="144" t="n"/>
      <c r="G8" s="142" t="n"/>
      <c r="H8" s="144" t="n"/>
      <c r="I8" s="142" t="n"/>
      <c r="J8" s="143" t="n"/>
      <c r="K8" s="144" t="n"/>
      <c r="N8" t="n">
        <v>10</v>
      </c>
    </row>
    <row r="9">
      <c r="A9" s="755" t="inlineStr">
        <is>
          <t>Tag Number</t>
        </is>
      </c>
      <c r="B9" s="140" t="n"/>
      <c r="C9" s="755">
        <f>IF(VLOOKUP($L$1,Summary!$A$2:$AK$600,10,0)= 0,"", VLOOKUP($L$1,Summary!$A$2:$AK$600,10,0))</f>
        <v/>
      </c>
      <c r="D9" s="139" t="n"/>
      <c r="E9" s="140" t="n"/>
      <c r="G9" s="755" t="inlineStr">
        <is>
          <t>Tag Number</t>
        </is>
      </c>
      <c r="H9" s="140" t="n"/>
      <c r="I9" s="755">
        <f>IF(VLOOKUP($M$1,Summary!$A$2:$AK$600,10,0)= 0,"", VLOOKUP($M$1,Summary!$A$2:$AK$600,10,0))</f>
        <v/>
      </c>
      <c r="J9" s="139" t="n"/>
      <c r="K9" s="140" t="n"/>
      <c r="N9" t="n">
        <v>4</v>
      </c>
    </row>
    <row r="10">
      <c r="A10" s="127" t="n"/>
      <c r="B10" s="141" t="n"/>
      <c r="C10" s="127" t="n"/>
      <c r="E10" s="141" t="n"/>
      <c r="G10" s="127" t="n"/>
      <c r="H10" s="141" t="n"/>
      <c r="I10" s="127" t="n"/>
      <c r="K10" s="141" t="n"/>
      <c r="N10" t="n">
        <v>5</v>
      </c>
    </row>
    <row r="11" ht="16.5" customHeight="1" thickBot="1">
      <c r="A11" s="142" t="n"/>
      <c r="B11" s="144" t="n"/>
      <c r="C11" s="142" t="n"/>
      <c r="D11" s="143" t="n"/>
      <c r="E11" s="144" t="n"/>
      <c r="G11" s="142" t="n"/>
      <c r="H11" s="144" t="n"/>
      <c r="I11" s="142" t="n"/>
      <c r="J11" s="143" t="n"/>
      <c r="K11" s="144" t="n"/>
      <c r="N11" t="n">
        <v>6</v>
      </c>
    </row>
    <row r="12">
      <c r="A12" s="755" t="inlineStr">
        <is>
          <t>Area</t>
        </is>
      </c>
      <c r="B12" s="140" t="n"/>
      <c r="C12" s="755">
        <f>IF(VLOOKUP($L$1,Summary!$A$2:$AK$600,4,0)= 0,"", VLOOKUP($L$1,Summary!$A$2:$AK$600,4,0))</f>
        <v/>
      </c>
      <c r="D12" s="139" t="n"/>
      <c r="E12" s="140" t="n"/>
      <c r="G12" s="755" t="inlineStr">
        <is>
          <t>Area</t>
        </is>
      </c>
      <c r="H12" s="140" t="n"/>
      <c r="I12" s="755">
        <f>IF(VLOOKUP($M$1,Summary!$A$2:$AK$600,4,0)= 0,"", VLOOKUP($M$1,Summary!$A$2:$AK$600,4,0))</f>
        <v/>
      </c>
      <c r="J12" s="139" t="n"/>
      <c r="K12" s="140" t="n"/>
      <c r="N12" t="n">
        <v>23</v>
      </c>
    </row>
    <row r="13">
      <c r="A13" s="127" t="n"/>
      <c r="B13" s="141" t="n"/>
      <c r="C13" s="127" t="n"/>
      <c r="E13" s="141" t="n"/>
      <c r="G13" s="127" t="n"/>
      <c r="H13" s="141" t="n"/>
      <c r="I13" s="127" t="n"/>
      <c r="K13" s="141" t="n"/>
      <c r="N13" t="n">
        <v>13</v>
      </c>
    </row>
    <row r="14" ht="16.5" customHeight="1" thickBot="1">
      <c r="A14" s="142" t="n"/>
      <c r="B14" s="144" t="n"/>
      <c r="C14" s="142" t="n"/>
      <c r="D14" s="143" t="n"/>
      <c r="E14" s="144" t="n"/>
      <c r="G14" s="142" t="n"/>
      <c r="H14" s="144" t="n"/>
      <c r="I14" s="142" t="n"/>
      <c r="J14" s="143" t="n"/>
      <c r="K14" s="144" t="n"/>
    </row>
    <row r="15">
      <c r="A15" s="755" t="inlineStr">
        <is>
          <t>Unit</t>
        </is>
      </c>
      <c r="B15" s="140" t="n"/>
      <c r="C15" s="755">
        <f>IF(VLOOKUP($L$1,Summary!$A$2:$AK$600,5,0)=0,"",VLOOKUP($L$1,Summary!$A$2:$AK$600,5,0))</f>
        <v/>
      </c>
      <c r="D15" s="139" t="n"/>
      <c r="E15" s="140" t="n"/>
      <c r="G15" s="755" t="inlineStr">
        <is>
          <t>Unit</t>
        </is>
      </c>
      <c r="H15" s="140" t="n"/>
      <c r="I15" s="755">
        <f>IF(VLOOKUP($M$1,Summary!$A$2:$AK$600,5,0)= 0,"", VLOOKUP($M$1,Summary!$A$2:$AK$600,5,0))</f>
        <v/>
      </c>
      <c r="J15" s="139" t="n"/>
      <c r="K15" s="140" t="n"/>
    </row>
    <row r="16">
      <c r="A16" s="127" t="n"/>
      <c r="B16" s="141" t="n"/>
      <c r="C16" s="127" t="n"/>
      <c r="E16" s="141" t="n"/>
      <c r="G16" s="127" t="n"/>
      <c r="H16" s="141" t="n"/>
      <c r="I16" s="127" t="n"/>
      <c r="K16" s="141" t="n"/>
    </row>
    <row r="17" ht="16.5" customHeight="1" thickBot="1">
      <c r="A17" s="142" t="n"/>
      <c r="B17" s="144" t="n"/>
      <c r="C17" s="142" t="n"/>
      <c r="D17" s="143" t="n"/>
      <c r="E17" s="144" t="n"/>
      <c r="G17" s="142" t="n"/>
      <c r="H17" s="144" t="n"/>
      <c r="I17" s="142" t="n"/>
      <c r="J17" s="143" t="n"/>
      <c r="K17" s="144" t="n"/>
    </row>
    <row r="18">
      <c r="A18" s="755" t="inlineStr">
        <is>
          <t>Valve Type</t>
        </is>
      </c>
      <c r="B18" s="140" t="n"/>
      <c r="C18" s="755">
        <f>IF(VLOOKUP($L$1,Summary!$A$2:$AK$600,6,0)= 0,"", VLOOKUP($L$1,Summary!$A$2:$AK$600,6,0))</f>
        <v/>
      </c>
      <c r="D18" s="139" t="n"/>
      <c r="E18" s="140" t="n"/>
      <c r="G18" s="755" t="inlineStr">
        <is>
          <t>Valve Type</t>
        </is>
      </c>
      <c r="H18" s="140" t="n"/>
      <c r="I18" s="755">
        <f>IF(VLOOKUP($M$1,Summary!$A$2:$AK$600,6,0)= 0,"", VLOOKUP($M$1,Summary!$A$2:$AK$600,6,0))</f>
        <v/>
      </c>
      <c r="J18" s="139" t="n"/>
      <c r="K18" s="140" t="n"/>
    </row>
    <row r="19">
      <c r="A19" s="127" t="n"/>
      <c r="B19" s="141" t="n"/>
      <c r="C19" s="127" t="n"/>
      <c r="E19" s="141" t="n"/>
      <c r="G19" s="127" t="n"/>
      <c r="H19" s="141" t="n"/>
      <c r="I19" s="127" t="n"/>
      <c r="K19" s="141" t="n"/>
    </row>
    <row r="20" ht="16.5" customHeight="1" thickBot="1">
      <c r="A20" s="142" t="n"/>
      <c r="B20" s="144" t="n"/>
      <c r="C20" s="142" t="n"/>
      <c r="D20" s="143" t="n"/>
      <c r="E20" s="144" t="n"/>
      <c r="G20" s="142" t="n"/>
      <c r="H20" s="144" t="n"/>
      <c r="I20" s="142" t="n"/>
      <c r="J20" s="143" t="n"/>
      <c r="K20" s="144" t="n"/>
    </row>
    <row r="21">
      <c r="A21" s="755" t="inlineStr">
        <is>
          <t>Size</t>
        </is>
      </c>
      <c r="B21" s="140" t="n"/>
      <c r="C21" s="755">
        <f>IF(VLOOKUP($L$1,Summary!$A$2:$AK$600,23,0)= 0,"", VLOOKUP($L$1,Summary!$A$2:$AK$600,23,0))</f>
        <v/>
      </c>
      <c r="D21" s="139" t="n"/>
      <c r="E21" s="140" t="n"/>
      <c r="G21" s="755" t="inlineStr">
        <is>
          <t>Size</t>
        </is>
      </c>
      <c r="H21" s="140" t="n"/>
      <c r="I21" s="755">
        <f>IF(VLOOKUP($M$1,Summary!$A$2:$AK$600,23,0)= 0,"", VLOOKUP($M$1,Summary!$A$2:$AK$600,23,0))</f>
        <v/>
      </c>
      <c r="J21" s="139" t="n"/>
      <c r="K21" s="140" t="n"/>
    </row>
    <row r="22">
      <c r="A22" s="127" t="n"/>
      <c r="B22" s="141" t="n"/>
      <c r="C22" s="127" t="n"/>
      <c r="E22" s="141" t="n"/>
      <c r="G22" s="127" t="n"/>
      <c r="H22" s="141" t="n"/>
      <c r="I22" s="127" t="n"/>
      <c r="K22" s="141" t="n"/>
    </row>
    <row r="23" ht="16.5" customHeight="1" thickBot="1">
      <c r="A23" s="142" t="n"/>
      <c r="B23" s="144" t="n"/>
      <c r="C23" s="142" t="n"/>
      <c r="D23" s="143" t="n"/>
      <c r="E23" s="144" t="n"/>
      <c r="G23" s="142" t="n"/>
      <c r="H23" s="144" t="n"/>
      <c r="I23" s="142" t="n"/>
      <c r="J23" s="143" t="n"/>
      <c r="K23" s="144" t="n"/>
    </row>
    <row r="24">
      <c r="A24" s="755" t="inlineStr">
        <is>
          <t>Service Type</t>
        </is>
      </c>
      <c r="B24" s="140" t="n"/>
      <c r="C24" s="756">
        <f>IF(VLOOKUP($L$1,Summary!$A$2:$AK$600,13,0)= 0,"", VLOOKUP($L$1,Summary!$A$2:$AK$600,13,0))</f>
        <v/>
      </c>
      <c r="D24" s="139" t="n"/>
      <c r="E24" s="140" t="n"/>
      <c r="G24" s="755" t="inlineStr">
        <is>
          <t>Service Type</t>
        </is>
      </c>
      <c r="H24" s="140" t="n"/>
      <c r="I24" s="756">
        <f>IF(VLOOKUP($M$1,Summary!$A$2:$AK$600,13,0)= 0,"", VLOOKUP($M$1,Summary!$A$2:$AK$600,13,0))</f>
        <v/>
      </c>
      <c r="J24" s="139" t="n"/>
      <c r="K24" s="140" t="n"/>
    </row>
    <row r="25" ht="25.9" customHeight="1" thickBot="1">
      <c r="A25" s="142" t="n"/>
      <c r="B25" s="144" t="n"/>
      <c r="C25" s="142" t="n"/>
      <c r="D25" s="143" t="n"/>
      <c r="E25" s="144" t="n"/>
      <c r="G25" s="142" t="n"/>
      <c r="H25" s="144" t="n"/>
      <c r="I25" s="142" t="n"/>
      <c r="J25" s="143" t="n"/>
      <c r="K25" s="144" t="n"/>
    </row>
    <row r="26" ht="18.6" customHeight="1" thickBot="1"/>
    <row r="27">
      <c r="A27" s="138" t="n"/>
      <c r="B27" s="139" t="n"/>
      <c r="C27" s="139" t="n"/>
      <c r="D27" s="139" t="n"/>
      <c r="E27" s="140" t="n"/>
      <c r="G27" s="138" t="n"/>
      <c r="H27" s="139" t="n"/>
      <c r="I27" s="139" t="n"/>
      <c r="J27" s="139" t="n"/>
      <c r="K27" s="140" t="n"/>
    </row>
    <row r="28">
      <c r="A28" s="127" t="n"/>
      <c r="E28" s="141" t="n"/>
      <c r="G28" s="127" t="n"/>
      <c r="K28" s="141" t="n"/>
    </row>
    <row r="29">
      <c r="A29" s="127" t="n"/>
      <c r="E29" s="141" t="n"/>
      <c r="G29" s="127" t="n"/>
      <c r="K29" s="141" t="n"/>
    </row>
    <row r="30">
      <c r="A30" s="127" t="n"/>
      <c r="E30" s="141" t="n"/>
      <c r="G30" s="127" t="n"/>
      <c r="K30" s="141" t="n"/>
    </row>
    <row r="31" ht="4.15" customHeight="1" thickBot="1">
      <c r="A31" s="142" t="n"/>
      <c r="B31" s="143" t="n"/>
      <c r="C31" s="143" t="n"/>
      <c r="D31" s="143" t="n"/>
      <c r="E31" s="144" t="n"/>
      <c r="G31" s="142" t="n"/>
      <c r="H31" s="143" t="n"/>
      <c r="I31" s="143" t="n"/>
      <c r="J31" s="143" t="n"/>
      <c r="K31" s="144" t="n"/>
    </row>
    <row r="32">
      <c r="A32" s="755" t="inlineStr">
        <is>
          <t>Work Order</t>
        </is>
      </c>
      <c r="B32" s="140" t="n"/>
      <c r="C32" s="755">
        <f>IF(VLOOKUP($N$1,Summary!$A$2:$AK$600,2,0)= 0,"", VLOOKUP($N$1,Summary!$A$2:$AK$600,2,0))</f>
        <v/>
      </c>
      <c r="D32" s="139" t="n"/>
      <c r="E32" s="140" t="n"/>
      <c r="G32" s="755" t="inlineStr">
        <is>
          <t>Work Order</t>
        </is>
      </c>
      <c r="H32" s="140" t="n"/>
      <c r="I32" s="755">
        <f>IF(VLOOKUP($O$1,Summary!$A$2:$AK$600,2,0)= 0,"", VLOOKUP($O$1,Summary!$A$2:$AK$600,2,0))</f>
        <v/>
      </c>
      <c r="J32" s="139" t="n"/>
      <c r="K32" s="140" t="n"/>
    </row>
    <row r="33">
      <c r="A33" s="127" t="n"/>
      <c r="B33" s="141" t="n"/>
      <c r="C33" s="127" t="n"/>
      <c r="E33" s="141" t="n"/>
      <c r="G33" s="127" t="n"/>
      <c r="H33" s="141" t="n"/>
      <c r="I33" s="127" t="n"/>
      <c r="K33" s="141" t="n"/>
    </row>
    <row r="34" ht="16.5" customHeight="1" thickBot="1">
      <c r="A34" s="142" t="n"/>
      <c r="B34" s="144" t="n"/>
      <c r="C34" s="142" t="n"/>
      <c r="D34" s="143" t="n"/>
      <c r="E34" s="144" t="n"/>
      <c r="G34" s="142" t="n"/>
      <c r="H34" s="144" t="n"/>
      <c r="I34" s="142" t="n"/>
      <c r="J34" s="143" t="n"/>
      <c r="K34" s="144" t="n"/>
    </row>
    <row r="35">
      <c r="A35" s="755" t="inlineStr">
        <is>
          <t>Tag Number</t>
        </is>
      </c>
      <c r="B35" s="140" t="n"/>
      <c r="C35" s="755">
        <f>IF(VLOOKUP($N$1,Summary!$A$2:$AK$600,10,0)= 0,"", VLOOKUP($N$1,Summary!$A$2:$AK$600,10,0))</f>
        <v/>
      </c>
      <c r="D35" s="139" t="n"/>
      <c r="E35" s="140" t="n"/>
      <c r="G35" s="755" t="inlineStr">
        <is>
          <t>Tag Number</t>
        </is>
      </c>
      <c r="H35" s="140" t="n"/>
      <c r="I35" s="755">
        <f>IF(VLOOKUP($O$1,Summary!$A$2:$AK$600,10,0)= 0,"", VLOOKUP($O$1,Summary!$A$2:$AK$600,10,0))</f>
        <v/>
      </c>
      <c r="J35" s="139" t="n"/>
      <c r="K35" s="140" t="n"/>
    </row>
    <row r="36">
      <c r="A36" s="127" t="n"/>
      <c r="B36" s="141" t="n"/>
      <c r="C36" s="127" t="n"/>
      <c r="E36" s="141" t="n"/>
      <c r="G36" s="127" t="n"/>
      <c r="H36" s="141" t="n"/>
      <c r="I36" s="127" t="n"/>
      <c r="K36" s="141" t="n"/>
    </row>
    <row r="37" ht="16.5" customHeight="1" thickBot="1">
      <c r="A37" s="142" t="n"/>
      <c r="B37" s="144" t="n"/>
      <c r="C37" s="142" t="n"/>
      <c r="D37" s="143" t="n"/>
      <c r="E37" s="144" t="n"/>
      <c r="G37" s="142" t="n"/>
      <c r="H37" s="144" t="n"/>
      <c r="I37" s="142" t="n"/>
      <c r="J37" s="143" t="n"/>
      <c r="K37" s="144" t="n"/>
    </row>
    <row r="38">
      <c r="A38" s="755" t="inlineStr">
        <is>
          <t>Area</t>
        </is>
      </c>
      <c r="B38" s="140" t="n"/>
      <c r="C38" s="755">
        <f>IF(VLOOKUP($N$1,Summary!$A$2:$AK$600,4,0)= 0,"", VLOOKUP($N$1,Summary!$A$2:$AK$600,4,0))</f>
        <v/>
      </c>
      <c r="D38" s="139" t="n"/>
      <c r="E38" s="140" t="n"/>
      <c r="G38" s="755" t="inlineStr">
        <is>
          <t>Area</t>
        </is>
      </c>
      <c r="H38" s="140" t="n"/>
      <c r="I38" s="755">
        <f>IF(VLOOKUP($O$1,Summary!$A$2:$AK$600,4,0)= 0,"", VLOOKUP($O$1,Summary!$A$2:$AK$600,4,0))</f>
        <v/>
      </c>
      <c r="J38" s="139" t="n"/>
      <c r="K38" s="140" t="n"/>
      <c r="M38" t="n">
        <v>2</v>
      </c>
    </row>
    <row r="39">
      <c r="A39" s="127" t="n"/>
      <c r="B39" s="141" t="n"/>
      <c r="C39" s="127" t="n"/>
      <c r="E39" s="141" t="n"/>
      <c r="G39" s="127" t="n"/>
      <c r="H39" s="141" t="n"/>
      <c r="I39" s="127" t="n"/>
      <c r="K39" s="141" t="n"/>
      <c r="M39" t="n">
        <v>10</v>
      </c>
    </row>
    <row r="40" ht="16.5" customHeight="1" thickBot="1">
      <c r="A40" s="142" t="n"/>
      <c r="B40" s="144" t="n"/>
      <c r="C40" s="142" t="n"/>
      <c r="D40" s="143" t="n"/>
      <c r="E40" s="144" t="n"/>
      <c r="G40" s="142" t="n"/>
      <c r="H40" s="144" t="n"/>
      <c r="I40" s="142" t="n"/>
      <c r="J40" s="143" t="n"/>
      <c r="K40" s="144" t="n"/>
      <c r="M40" t="n">
        <v>4</v>
      </c>
    </row>
    <row r="41">
      <c r="A41" s="755" t="inlineStr">
        <is>
          <t>Unit</t>
        </is>
      </c>
      <c r="B41" s="140" t="n"/>
      <c r="C41" s="755">
        <f>IF(VLOOKUP($N$1,Summary!$A$2:$AK$600,5,0)= 0,"", VLOOKUP($N$1,Summary!$A$2:$AK$600,5,0))</f>
        <v/>
      </c>
      <c r="D41" s="139" t="n"/>
      <c r="E41" s="140" t="n"/>
      <c r="G41" s="755" t="inlineStr">
        <is>
          <t>Unit</t>
        </is>
      </c>
      <c r="H41" s="140" t="n"/>
      <c r="I41" s="755">
        <f>IF(VLOOKUP($O$1,Summary!$A$2:$AK$600,5,0)= 0,"", VLOOKUP($O$1,Summary!$A$2:$AK$600,5,0))</f>
        <v/>
      </c>
      <c r="J41" s="139" t="n"/>
      <c r="K41" s="140" t="n"/>
      <c r="M41" t="n">
        <v>5</v>
      </c>
    </row>
    <row r="42">
      <c r="A42" s="127" t="n"/>
      <c r="B42" s="141" t="n"/>
      <c r="C42" s="127" t="n"/>
      <c r="E42" s="141" t="n"/>
      <c r="G42" s="127" t="n"/>
      <c r="H42" s="141" t="n"/>
      <c r="I42" s="127" t="n"/>
      <c r="K42" s="141" t="n"/>
      <c r="M42" t="n">
        <v>6</v>
      </c>
    </row>
    <row r="43" ht="16.5" customHeight="1" thickBot="1">
      <c r="A43" s="142" t="n"/>
      <c r="B43" s="144" t="n"/>
      <c r="C43" s="142" t="n"/>
      <c r="D43" s="143" t="n"/>
      <c r="E43" s="144" t="n"/>
      <c r="G43" s="142" t="n"/>
      <c r="H43" s="144" t="n"/>
      <c r="I43" s="142" t="n"/>
      <c r="J43" s="143" t="n"/>
      <c r="K43" s="144" t="n"/>
      <c r="M43" t="n">
        <v>23</v>
      </c>
    </row>
    <row r="44">
      <c r="A44" s="755" t="inlineStr">
        <is>
          <t>Valve Type</t>
        </is>
      </c>
      <c r="B44" s="140" t="n"/>
      <c r="C44" s="755">
        <f>IF(VLOOKUP($N$1,Summary!$A$2:$AK$600,6,0)= 0,"", VLOOKUP($N$1,Summary!$A$2:$AK$600,6,0))</f>
        <v/>
      </c>
      <c r="D44" s="139" t="n"/>
      <c r="E44" s="140" t="n"/>
      <c r="G44" s="755" t="inlineStr">
        <is>
          <t>Valve Type</t>
        </is>
      </c>
      <c r="H44" s="140" t="n"/>
      <c r="I44" s="755">
        <f>IF(VLOOKUP($O$1,Summary!$A$2:$AK$600,6,0)= 0,"", VLOOKUP($O$1,Summary!$A$2:$AK$600,6,0))</f>
        <v/>
      </c>
      <c r="J44" s="139" t="n"/>
      <c r="K44" s="140" t="n"/>
      <c r="M44" t="n">
        <v>13</v>
      </c>
    </row>
    <row r="45">
      <c r="A45" s="127" t="n"/>
      <c r="B45" s="141" t="n"/>
      <c r="C45" s="127" t="n"/>
      <c r="E45" s="141" t="n"/>
      <c r="G45" s="127" t="n"/>
      <c r="H45" s="141" t="n"/>
      <c r="I45" s="127" t="n"/>
      <c r="K45" s="141" t="n"/>
    </row>
    <row r="46" ht="16.5" customHeight="1" thickBot="1">
      <c r="A46" s="142" t="n"/>
      <c r="B46" s="144" t="n"/>
      <c r="C46" s="142" t="n"/>
      <c r="D46" s="143" t="n"/>
      <c r="E46" s="144" t="n"/>
      <c r="G46" s="142" t="n"/>
      <c r="H46" s="144" t="n"/>
      <c r="I46" s="142" t="n"/>
      <c r="J46" s="143" t="n"/>
      <c r="K46" s="144" t="n"/>
    </row>
    <row r="47">
      <c r="A47" s="755" t="inlineStr">
        <is>
          <t>Size</t>
        </is>
      </c>
      <c r="B47" s="140" t="n"/>
      <c r="C47" s="755">
        <f>IF(VLOOKUP($N$1,Summary!$A$2:$AK$600,23,0)= 0,"", VLOOKUP($N$1,Summary!$A$2:$AK$600,23,0))</f>
        <v/>
      </c>
      <c r="D47" s="139" t="n"/>
      <c r="E47" s="140" t="n"/>
      <c r="G47" s="755" t="inlineStr">
        <is>
          <t>Size</t>
        </is>
      </c>
      <c r="H47" s="140" t="n"/>
      <c r="I47" s="755">
        <f>IF(VLOOKUP($O$1,Summary!$A$2:$AK$600,23,0)= 0,"", VLOOKUP($O$1,Summary!$A$2:$AK$600,23,0))</f>
        <v/>
      </c>
      <c r="J47" s="139" t="n"/>
      <c r="K47" s="140" t="n"/>
    </row>
    <row r="48">
      <c r="A48" s="127" t="n"/>
      <c r="B48" s="141" t="n"/>
      <c r="C48" s="127" t="n"/>
      <c r="E48" s="141" t="n"/>
      <c r="G48" s="127" t="n"/>
      <c r="H48" s="141" t="n"/>
      <c r="I48" s="127" t="n"/>
      <c r="K48" s="141" t="n"/>
    </row>
    <row r="49" ht="6" customHeight="1" thickBot="1">
      <c r="A49" s="142" t="n"/>
      <c r="B49" s="144" t="n"/>
      <c r="C49" s="142" t="n"/>
      <c r="D49" s="143" t="n"/>
      <c r="E49" s="144" t="n"/>
      <c r="G49" s="142" t="n"/>
      <c r="H49" s="144" t="n"/>
      <c r="I49" s="142" t="n"/>
      <c r="J49" s="143" t="n"/>
      <c r="K49" s="144" t="n"/>
    </row>
    <row r="50">
      <c r="A50" s="755" t="inlineStr">
        <is>
          <t>Service Type</t>
        </is>
      </c>
      <c r="B50" s="140" t="n"/>
      <c r="C50" s="756">
        <f>IF(VLOOKUP($N$1,Summary!$A$2:$AK$600,13,0)= 0,"", VLOOKUP($N$1,Summary!$A$2:$AK$600,13,0))</f>
        <v/>
      </c>
      <c r="D50" s="139" t="n"/>
      <c r="E50" s="140" t="n"/>
      <c r="G50" s="755" t="inlineStr">
        <is>
          <t>Service Type</t>
        </is>
      </c>
      <c r="H50" s="140" t="n"/>
      <c r="I50" s="756">
        <f>IF(VLOOKUP($O$1,Summary!$A$2:$AK$600,13,0)= 0,"", VLOOKUP($O$1,Summary!$A$2:$AK$600,13,0))</f>
        <v/>
      </c>
      <c r="J50" s="139" t="n"/>
      <c r="K50" s="140" t="n"/>
    </row>
    <row r="51" ht="25.9" customHeight="1" thickBot="1">
      <c r="A51" s="142" t="n"/>
      <c r="B51" s="144" t="n"/>
      <c r="C51" s="142" t="n"/>
      <c r="D51" s="143" t="n"/>
      <c r="E51" s="144" t="n"/>
      <c r="G51" s="142" t="n"/>
      <c r="H51" s="144" t="n"/>
      <c r="I51" s="142" t="n"/>
      <c r="J51" s="143" t="n"/>
      <c r="K51" s="144" t="n"/>
    </row>
  </sheetData>
  <mergeCells count="56">
    <mergeCell ref="I41:K43"/>
    <mergeCell ref="I47:K49"/>
    <mergeCell ref="I32:K34"/>
    <mergeCell ref="I50:K51"/>
    <mergeCell ref="C41:E43"/>
    <mergeCell ref="C44:E46"/>
    <mergeCell ref="G24:H25"/>
    <mergeCell ref="C35:E37"/>
    <mergeCell ref="A9:B11"/>
    <mergeCell ref="A15:B17"/>
    <mergeCell ref="C47:E49"/>
    <mergeCell ref="I12:K14"/>
    <mergeCell ref="G12:H14"/>
    <mergeCell ref="I21:K23"/>
    <mergeCell ref="G21:H23"/>
    <mergeCell ref="C24:E25"/>
    <mergeCell ref="C9:E11"/>
    <mergeCell ref="I18:K20"/>
    <mergeCell ref="G38:H40"/>
    <mergeCell ref="G50:H51"/>
    <mergeCell ref="A41:B43"/>
    <mergeCell ref="C21:E23"/>
    <mergeCell ref="C12:E14"/>
    <mergeCell ref="A6:B8"/>
    <mergeCell ref="C32:E34"/>
    <mergeCell ref="C38:E40"/>
    <mergeCell ref="C50:E51"/>
    <mergeCell ref="I38:K40"/>
    <mergeCell ref="I35:K37"/>
    <mergeCell ref="G6:H8"/>
    <mergeCell ref="I6:K8"/>
    <mergeCell ref="A18:B20"/>
    <mergeCell ref="I44:K46"/>
    <mergeCell ref="G18:H20"/>
    <mergeCell ref="G15:H17"/>
    <mergeCell ref="A12:B14"/>
    <mergeCell ref="A21:B23"/>
    <mergeCell ref="A24:B25"/>
    <mergeCell ref="I15:K17"/>
    <mergeCell ref="C6:E8"/>
    <mergeCell ref="A47:B49"/>
    <mergeCell ref="I24:K25"/>
    <mergeCell ref="A32:B34"/>
    <mergeCell ref="A38:B40"/>
    <mergeCell ref="C18:E20"/>
    <mergeCell ref="I9:K11"/>
    <mergeCell ref="A50:B51"/>
    <mergeCell ref="G32:H34"/>
    <mergeCell ref="G41:H43"/>
    <mergeCell ref="A35:B37"/>
    <mergeCell ref="G35:H37"/>
    <mergeCell ref="C15:E17"/>
    <mergeCell ref="A44:B46"/>
    <mergeCell ref="G44:H46"/>
    <mergeCell ref="G9:H11"/>
    <mergeCell ref="G47:H49"/>
  </mergeCells>
  <printOptions horizontalCentered="1"/>
  <pageMargins left="0.1181102362204725" right="0.1181102362204725" top="0.2362204724409449" bottom="0.1181102362204725" header="0.3149606299212598" footer="0.3149606299212598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2023-03-09T15:23:15Z</dcterms:created>
  <dcterms:modified xsi:type="dcterms:W3CDTF">2025-07-02T03:28:25Z</dcterms:modified>
  <cp:lastModifiedBy>AMIRUL QAYYUM BIN SI KAMBAR</cp:lastModifiedBy>
  <cp:lastPrinted>2025-07-01T23:53:50Z</cp:lastPrinted>
</cp:coreProperties>
</file>